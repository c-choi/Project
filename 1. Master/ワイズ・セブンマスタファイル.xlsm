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activeTab="1"/>
  </bookViews>
  <sheets>
    <sheet name="車両一覧" sheetId="10" r:id="rId1"/>
    <sheet name="トラクタ、トラック" sheetId="6" r:id="rId2"/>
    <sheet name="台帳リスト" sheetId="12" r:id="rId3"/>
    <sheet name="被けん引車２" sheetId="9" r:id="rId4"/>
    <sheet name="点検日" sheetId="4" r:id="rId5"/>
    <sheet name="Sheet2" sheetId="13" r:id="rId6"/>
    <sheet name="Sheet1" sheetId="14" r:id="rId7"/>
    <sheet name="before20150113" sheetId="15" r:id="rId8"/>
  </sheets>
  <definedNames>
    <definedName name="_xlnm._FilterDatabase" localSheetId="0" hidden="1">車両一覧!$A$1:$AJ$151</definedName>
    <definedName name="_xlnm.Print_Area" localSheetId="1">'トラクタ、トラック'!$A$1:$V$71</definedName>
    <definedName name="_xlnm.Print_Area" localSheetId="0">車両一覧!$A$1:$AK$157</definedName>
    <definedName name="_xlnm.Print_Area" localSheetId="3">被けん引車２!$A$1:$U$50</definedName>
  </definedNames>
  <calcPr calcId="125725"/>
</workbook>
</file>

<file path=xl/calcChain.xml><?xml version="1.0" encoding="utf-8"?>
<calcChain xmlns="http://schemas.openxmlformats.org/spreadsheetml/2006/main">
  <c r="K45" i="9"/>
  <c r="K48"/>
  <c r="S5"/>
  <c r="N5"/>
  <c r="S3"/>
  <c r="K3"/>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N3" i="9" s="1"/>
  <c r="D23" i="10"/>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2"/>
  <c r="A137" i="12"/>
  <c r="A136"/>
  <c r="A135"/>
  <c r="A134"/>
  <c r="A133"/>
  <c r="A132"/>
  <c r="A131"/>
  <c r="A130"/>
  <c r="A129"/>
  <c r="A128"/>
  <c r="A127"/>
  <c r="A126"/>
  <c r="A125"/>
  <c r="A124"/>
  <c r="A123"/>
  <c r="A122"/>
  <c r="A120"/>
  <c r="A119"/>
  <c r="A118"/>
  <c r="A117"/>
  <c r="A116"/>
  <c r="A115"/>
  <c r="A114"/>
  <c r="A113"/>
  <c r="A112"/>
  <c r="A111"/>
  <c r="A110"/>
  <c r="A109"/>
  <c r="A108"/>
  <c r="A107"/>
  <c r="A106"/>
  <c r="A105"/>
</calcChain>
</file>

<file path=xl/sharedStrings.xml><?xml version="1.0" encoding="utf-8"?>
<sst xmlns="http://schemas.openxmlformats.org/spreadsheetml/2006/main" count="11930" uniqueCount="1838">
  <si>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</si>
  <si>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</si>
  <si>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</si>
  <si>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</si>
  <si>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</si>
  <si>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</si>
  <si>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</si>
  <si>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</si>
  <si>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</si>
  <si>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</si>
  <si>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</si>
  <si>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</si>
  <si>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</si>
  <si>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</si>
  <si>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</si>
  <si>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</si>
  <si>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</si>
  <si>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</si>
  <si>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</si>
  <si>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</si>
  <si>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</si>
  <si>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</si>
  <si>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</si>
  <si>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</si>
  <si>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</si>
  <si>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</si>
  <si>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</si>
  <si>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</si>
  <si>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</si>
  <si>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</si>
  <si>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</si>
  <si>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</si>
  <si>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</si>
  <si>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</si>
  <si>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</si>
  <si>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</si>
  <si>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</si>
  <si>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</si>
  <si>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</si>
  <si>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</si>
  <si>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</si>
  <si>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</si>
  <si>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</si>
  <si>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</si>
  <si>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</si>
  <si>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</si>
  <si>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</si>
  <si>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</si>
  <si>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</si>
  <si>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</si>
  <si>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</si>
  <si>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</si>
  <si>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</si>
  <si>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</si>
  <si>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</si>
  <si>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</si>
  <si>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</si>
  <si>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</si>
  <si>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</si>
  <si>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</si>
  <si>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</si>
  <si>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</si>
  <si>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</si>
  <si>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</si>
  <si>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</si>
  <si>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</si>
  <si>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</si>
  <si>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</si>
  <si>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</si>
  <si>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</si>
  <si>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</si>
  <si>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</si>
  <si>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</si>
  <si>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</si>
  <si>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</si>
  <si>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</si>
  <si>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</si>
  <si>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</si>
  <si>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</si>
  <si>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</si>
  <si>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</si>
  <si>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</si>
  <si>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</si>
  <si>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</si>
  <si>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</si>
  <si>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</si>
  <si>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</si>
  <si>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</si>
  <si>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</si>
  <si>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</si>
  <si>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</si>
  <si>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</si>
  <si>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</si>
  <si>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</si>
  <si>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</si>
  <si>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</si>
  <si>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</si>
  <si>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</si>
  <si>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</si>
  <si>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</si>
  <si>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</si>
  <si>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</si>
  <si>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</si>
  <si>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</si>
  <si>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</si>
  <si>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</si>
  <si>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</si>
  <si>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</si>
  <si>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</si>
  <si>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</si>
  <si>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</si>
  <si>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</si>
  <si>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</si>
  <si>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</si>
  <si>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</si>
  <si>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</si>
  <si>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</si>
  <si>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</si>
  <si>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</si>
  <si>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</si>
  <si>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</si>
  <si>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</si>
  <si>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</si>
  <si>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</si>
  <si>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</si>
  <si>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</si>
  <si>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</si>
  <si>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</si>
  <si>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</si>
  <si>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</si>
  <si>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</si>
  <si>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</si>
  <si>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</si>
  <si>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</si>
  <si>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</si>
  <si>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</si>
  <si>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</si>
  <si>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</si>
  <si>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</si>
  <si>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</si>
  <si>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</si>
  <si>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</si>
  <si>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</si>
  <si>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</si>
  <si>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</si>
  <si>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</si>
  <si>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</si>
  <si>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</si>
  <si>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</si>
  <si>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</si>
  <si>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</si>
  <si>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</si>
  <si>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</si>
  <si>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</si>
  <si>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</si>
  <si>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</si>
  <si>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</si>
  <si>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</si>
  <si>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</si>
  <si>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</si>
  <si>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</si>
  <si>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</si>
  <si>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</si>
  <si>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</si>
  <si>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</si>
  <si>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</si>
  <si>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</si>
  <si>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</si>
  <si>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</si>
  <si>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</si>
  <si>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</si>
  <si>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</si>
  <si>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</si>
  <si>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</si>
  <si>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</si>
  <si>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</si>
  <si>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</si>
  <si>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</si>
  <si>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</si>
  <si>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</si>
  <si>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</si>
  <si>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</si>
  <si>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</si>
  <si>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</si>
  <si>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</si>
  <si>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</si>
  <si>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</si>
  <si>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</si>
  <si>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</si>
  <si>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</si>
  <si>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</si>
  <si>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</si>
  <si>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</si>
  <si>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</si>
  <si>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</si>
  <si>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</si>
  <si>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</si>
  <si>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</si>
  <si>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</si>
  <si>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</si>
  <si>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</si>
  <si>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</si>
  <si>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</si>
  <si>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</si>
  <si>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</si>
  <si>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</si>
  <si>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</si>
  <si>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</si>
  <si>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</si>
  <si>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</si>
  <si>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</si>
  <si>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</si>
  <si>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</si>
  <si>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</si>
  <si>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</si>
  <si>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</si>
  <si>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</si>
  <si>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</si>
  <si>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</si>
  <si>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</si>
  <si>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</si>
  <si>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</si>
  <si>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</si>
  <si>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</si>
  <si>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</si>
  <si>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</si>
  <si>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</si>
  <si>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</si>
  <si>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</si>
  <si>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</si>
  <si>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</si>
  <si>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</si>
  <si>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</si>
  <si>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</si>
  <si>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</si>
  <si>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</si>
  <si>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</si>
  <si>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</si>
  <si>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</si>
  <si>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</si>
  <si>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</si>
  <si>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</si>
  <si>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</si>
  <si>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</si>
  <si>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</si>
  <si>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</si>
  <si>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</si>
  <si>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</si>
  <si>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</si>
  <si>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</si>
  <si>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</si>
  <si>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</si>
  <si>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</si>
  <si>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</si>
  <si>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</si>
  <si>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</si>
  <si>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</si>
  <si>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</si>
  <si>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</si>
  <si>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</si>
  <si>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</si>
  <si>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</si>
  <si>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</si>
  <si>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</si>
  <si>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</si>
  <si>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</si>
  <si>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</si>
  <si>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</si>
  <si>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</si>
  <si>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</si>
  <si>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</si>
  <si>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</si>
  <si>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</si>
  <si>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</si>
  <si>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</si>
  <si>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</si>
  <si>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</si>
  <si>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</si>
  <si>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</si>
  <si>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</si>
  <si>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</si>
  <si>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</si>
  <si>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</si>
  <si>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</si>
  <si>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</si>
  <si>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</si>
  <si>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</si>
  <si>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</si>
  <si>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</si>
  <si>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</si>
  <si>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</si>
  <si>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</si>
  <si>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</si>
  <si>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</si>
  <si>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</si>
  <si>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</si>
  <si>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</si>
  <si>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</si>
  <si>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</si>
  <si>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</si>
  <si>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</si>
  <si>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</si>
  <si>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</si>
  <si>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</si>
  <si>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</si>
  <si>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</si>
  <si>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</si>
  <si>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</si>
  <si>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</si>
  <si>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</si>
  <si>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</si>
  <si>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</si>
  <si>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</si>
  <si>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</si>
  <si>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</si>
  <si>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</si>
  <si>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</si>
  <si>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</si>
  <si>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</si>
  <si>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</si>
  <si>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</si>
  <si>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</si>
  <si>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</si>
  <si>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</si>
  <si>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</si>
  <si>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</si>
  <si>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</si>
  <si>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</si>
  <si>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</si>
  <si>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</si>
  <si>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</si>
  <si>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</si>
  <si>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</si>
  <si>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</si>
  <si>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</si>
  <si>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</si>
  <si>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</si>
  <si>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</si>
  <si>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</si>
  <si>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</si>
  <si>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</si>
  <si>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</si>
  <si>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</si>
  <si>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</si>
  <si>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</si>
  <si>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</si>
  <si>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</si>
  <si>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</si>
  <si>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</si>
  <si>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</si>
  <si>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</si>
  <si>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</si>
  <si>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</si>
  <si>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</si>
  <si>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</si>
  <si>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</si>
  <si>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</si>
  <si>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</si>
  <si>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</si>
  <si>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</si>
  <si>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</si>
  <si>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</si>
  <si>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</si>
  <si>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</si>
  <si>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</si>
  <si>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</si>
  <si>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</si>
  <si>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</si>
  <si>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</si>
  <si>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</si>
  <si>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</si>
  <si>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</si>
  <si>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</si>
  <si>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</si>
  <si>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</si>
  <si>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</si>
  <si>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</si>
  <si>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</si>
  <si>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</si>
  <si>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</si>
  <si>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</si>
  <si>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</si>
  <si>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</si>
  <si>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</si>
  <si>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</si>
  <si>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</si>
  <si>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</si>
  <si>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</si>
  <si>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</si>
  <si>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</si>
  <si>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</si>
  <si>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</si>
  <si>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</si>
  <si>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</si>
  <si>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</si>
  <si>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</si>
  <si>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</si>
  <si>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</si>
  <si>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</si>
  <si>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</si>
  <si>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</si>
  <si>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</si>
  <si>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</si>
  <si>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</si>
  <si>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</si>
  <si>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</si>
  <si>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ホイール</t>
  </si>
  <si>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</si>
  <si>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</si>
  <si>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</si>
  <si>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</si>
  <si>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</si>
  <si>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</si>
  <si>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</si>
  <si>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</si>
  <si>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</si>
  <si>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</si>
  <si>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</si>
  <si>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</si>
  <si>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</si>
  <si>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</si>
  <si>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</si>
  <si>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</si>
  <si>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</si>
  <si>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</si>
  <si>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</si>
  <si>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</si>
  <si>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</si>
  <si>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</si>
  <si>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</si>
  <si>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</si>
  <si>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</si>
  <si>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</si>
  <si>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</si>
  <si>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</si>
  <si>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</si>
  <si>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</si>
  <si>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</si>
  <si>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</si>
  <si>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</si>
  <si>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</si>
  <si>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</si>
  <si>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</si>
  <si>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</si>
  <si>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</si>
  <si>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</si>
  <si>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</si>
  <si>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</si>
  <si>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</si>
  <si>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</si>
  <si>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</si>
  <si>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</si>
  <si>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</si>
  <si>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</si>
  <si>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</si>
  <si>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</si>
  <si>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</si>
  <si>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</si>
  <si>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</si>
  <si>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</si>
  <si>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</si>
  <si>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</si>
  <si>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</si>
  <si>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</si>
  <si>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</si>
  <si>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</si>
  <si>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</si>
  <si>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</si>
  <si>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</si>
  <si>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</si>
  <si>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</si>
  <si>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</si>
  <si>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</si>
  <si>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</si>
  <si>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</si>
  <si>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</si>
  <si>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</si>
  <si>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</si>
  <si>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</si>
  <si>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</si>
  <si>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</si>
  <si>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</si>
  <si>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</si>
  <si>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</si>
  <si>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</si>
  <si>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</si>
  <si>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</si>
  <si>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</si>
  <si>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</si>
  <si>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</si>
  <si>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</si>
  <si>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</si>
  <si>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</si>
  <si>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</si>
  <si>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</si>
  <si>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</si>
  <si>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</si>
  <si>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</si>
  <si>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</si>
  <si>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</si>
  <si>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</si>
  <si>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</si>
  <si>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</si>
  <si>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</si>
  <si>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</si>
  <si>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</si>
  <si>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</si>
  <si>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</si>
  <si>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</si>
  <si>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</si>
  <si>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</si>
  <si>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</si>
  <si>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</si>
  <si>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</si>
  <si>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</si>
  <si>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</si>
  <si>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</si>
  <si>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</si>
  <si>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</si>
  <si>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</si>
  <si>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</si>
  <si>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</si>
  <si>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</si>
  <si>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</si>
  <si>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</si>
  <si>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</si>
  <si>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</si>
  <si>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</si>
  <si>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</si>
  <si>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</si>
  <si>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</si>
  <si>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</si>
  <si>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</si>
  <si>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</si>
  <si>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</si>
  <si>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</si>
  <si>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</si>
  <si>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</si>
  <si>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</si>
  <si>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</si>
  <si>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</si>
  <si>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</si>
  <si>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</si>
  <si>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</si>
  <si>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</si>
  <si>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</si>
  <si>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</si>
  <si>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</si>
  <si>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</si>
  <si>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</si>
  <si>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</si>
  <si>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</si>
  <si>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</si>
  <si>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</si>
  <si>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</si>
  <si>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</si>
  <si>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</si>
  <si>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</si>
  <si>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</si>
  <si>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</si>
  <si>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</si>
  <si>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</si>
  <si>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</si>
  <si>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</si>
  <si>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</si>
  <si>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</si>
  <si>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</si>
  <si>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</si>
  <si>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</si>
  <si>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</si>
  <si>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</si>
  <si>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</si>
  <si>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</si>
  <si>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</si>
  <si>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</si>
  <si>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</si>
  <si>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</si>
  <si>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</si>
  <si>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</si>
  <si>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</si>
  <si>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</si>
  <si>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</si>
  <si>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</si>
  <si>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</si>
  <si>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</si>
  <si>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</si>
  <si>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</si>
  <si>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</si>
  <si>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</si>
  <si>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</si>
  <si>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</si>
  <si>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</si>
  <si>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</si>
  <si>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</si>
  <si>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</si>
  <si>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</si>
  <si>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</si>
  <si>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</si>
  <si>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</si>
  <si>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</si>
  <si>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</si>
  <si>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</si>
  <si>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</si>
  <si>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</si>
  <si>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</si>
  <si>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</si>
  <si>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</si>
  <si>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</si>
  <si>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</si>
  <si>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</si>
  <si>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</si>
  <si>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</si>
  <si>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</si>
  <si>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</si>
  <si>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</si>
  <si>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</si>
  <si>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</si>
  <si>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</si>
  <si>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</si>
  <si>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</si>
  <si>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</si>
  <si>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</si>
  <si>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</si>
  <si>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</si>
  <si>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</si>
  <si>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</si>
  <si>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</si>
  <si>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</si>
  <si>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</si>
  <si>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</si>
  <si>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</si>
  <si>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</si>
  <si>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</si>
  <si>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</si>
  <si>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</si>
  <si>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</si>
  <si>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</si>
  <si>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</si>
  <si>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</si>
  <si>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</si>
  <si>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</si>
  <si>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</si>
  <si>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</si>
  <si>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</si>
  <si>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</si>
  <si>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</si>
  <si>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</si>
  <si>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</si>
  <si>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</si>
  <si>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</si>
  <si>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</si>
  <si>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</si>
  <si>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</si>
  <si>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</si>
  <si>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</si>
  <si>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</si>
  <si>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</si>
  <si>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</si>
  <si>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</si>
  <si>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</si>
  <si>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</si>
  <si>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</si>
  <si>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</si>
  <si>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</si>
  <si>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</si>
  <si>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</si>
  <si>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</si>
  <si>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</si>
  <si>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</si>
  <si>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</si>
  <si>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</si>
  <si>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</si>
  <si>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</si>
  <si>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</si>
  <si>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</si>
  <si>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</si>
  <si>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</si>
  <si>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</si>
  <si>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</si>
  <si>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</si>
  <si>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</si>
  <si>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</si>
  <si>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</si>
  <si>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</si>
  <si>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</si>
  <si>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</si>
  <si>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</si>
  <si>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</si>
  <si>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</si>
  <si>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</si>
  <si>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</si>
  <si>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</si>
  <si>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</si>
  <si>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</si>
  <si>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</si>
  <si>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</si>
  <si>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</si>
  <si>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</si>
  <si>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</si>
  <si>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</si>
  <si>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</si>
  <si>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</si>
  <si>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</si>
  <si>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</si>
  <si>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</si>
  <si>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</si>
  <si>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</si>
  <si>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</si>
  <si>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</si>
  <si>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</si>
  <si>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</si>
  <si>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</si>
  <si>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</si>
  <si>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</si>
  <si>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</si>
  <si>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</si>
  <si>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</si>
  <si>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</si>
  <si>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</si>
  <si>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</si>
  <si>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</si>
  <si>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</si>
  <si>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</si>
  <si>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</si>
  <si>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</si>
  <si>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</si>
  <si>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</si>
  <si>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</si>
  <si>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</si>
  <si>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</si>
  <si>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</si>
  <si>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</si>
  <si>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</si>
  <si>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</si>
  <si>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</si>
  <si>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</si>
  <si>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</si>
  <si>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</si>
  <si>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</si>
  <si>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</si>
  <si>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</si>
  <si>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</si>
  <si>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</si>
  <si>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</si>
  <si>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</si>
  <si>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</si>
  <si>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</si>
  <si>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</si>
  <si>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</si>
  <si>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</si>
  <si>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</si>
  <si>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</si>
  <si>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</si>
  <si>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</si>
  <si>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</si>
  <si>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</si>
  <si>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</si>
  <si>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</si>
  <si>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</si>
  <si>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</si>
  <si>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</si>
  <si>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</si>
  <si>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</si>
  <si>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</si>
  <si>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</si>
  <si>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</si>
  <si>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</si>
  <si>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</si>
  <si>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</si>
  <si>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</si>
  <si>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</si>
  <si>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</si>
  <si>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</si>
  <si>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</si>
  <si>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</si>
  <si>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</si>
  <si>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</si>
  <si>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</si>
  <si>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</si>
  <si>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</si>
  <si>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</si>
  <si>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</si>
  <si>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</si>
  <si>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</si>
  <si>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</si>
  <si>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</si>
  <si>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</si>
  <si>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</si>
  <si>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</si>
  <si>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</si>
  <si>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</si>
  <si>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</si>
  <si>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</si>
  <si>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</si>
  <si>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</si>
  <si>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</si>
  <si>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</si>
  <si>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</si>
  <si>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</si>
  <si>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</si>
  <si>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</si>
  <si>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</si>
  <si>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</si>
  <si>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</si>
  <si>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</si>
  <si>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</si>
  <si>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</si>
  <si>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</si>
  <si>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</si>
  <si>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</si>
  <si>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</si>
  <si>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</si>
  <si>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</si>
  <si>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</si>
  <si>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</si>
  <si>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</si>
  <si>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</si>
  <si>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</si>
  <si>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</si>
  <si>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</si>
  <si>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</si>
  <si>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</si>
  <si>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</si>
  <si>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</si>
  <si>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</si>
  <si>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</si>
  <si>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</si>
  <si>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</si>
  <si>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</si>
  <si>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</si>
  <si>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</si>
  <si>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</si>
  <si>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</si>
  <si>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</si>
  <si>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</si>
  <si>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</si>
  <si>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</si>
  <si>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</si>
  <si>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</si>
  <si>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</si>
  <si>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</si>
  <si>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</si>
  <si>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</si>
  <si>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</si>
  <si>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</si>
  <si>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</si>
  <si>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</si>
  <si>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</si>
  <si>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</si>
  <si>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</si>
  <si>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</si>
  <si>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</si>
  <si>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</si>
  <si>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</si>
  <si>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</si>
  <si>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</si>
  <si>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</si>
  <si>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</si>
  <si>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</si>
  <si>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</si>
  <si>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</si>
  <si>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</si>
  <si>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</si>
  <si>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</si>
  <si>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</si>
  <si>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</si>
  <si>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</si>
  <si>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</si>
  <si>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</si>
  <si>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</si>
  <si>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</si>
  <si>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</si>
  <si>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</si>
  <si>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</si>
  <si>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</si>
  <si>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</si>
  <si>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</si>
  <si>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</si>
  <si>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</si>
  <si>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</si>
  <si>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</si>
  <si>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</si>
  <si>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</si>
  <si>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</si>
  <si>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</si>
  <si>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</si>
  <si>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</si>
  <si>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</si>
  <si>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</si>
  <si>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</si>
  <si>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</si>
  <si>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</si>
  <si>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</si>
  <si>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</si>
  <si>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</si>
  <si>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</si>
  <si>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</si>
  <si>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</si>
  <si>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</si>
  <si>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</si>
  <si>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</si>
  <si>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</si>
  <si>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</si>
  <si>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</si>
  <si>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</si>
  <si>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</si>
  <si>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</si>
  <si>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</si>
  <si>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</si>
  <si>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</si>
  <si>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</si>
  <si>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</si>
  <si>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</si>
  <si>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</si>
  <si>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</si>
  <si>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</si>
  <si>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</si>
  <si>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</si>
  <si>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</si>
  <si>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</si>
  <si>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</si>
  <si>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</si>
  <si>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</si>
  <si>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</si>
  <si>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</si>
  <si>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</si>
  <si>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</si>
  <si>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</si>
  <si>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</si>
  <si>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</si>
  <si>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</si>
  <si>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</si>
  <si>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</si>
  <si>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</si>
  <si>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</si>
  <si>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</si>
  <si>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</si>
  <si>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</si>
  <si>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</si>
  <si>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</si>
  <si>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</si>
  <si>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</si>
  <si>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</si>
  <si>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</si>
  <si>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</si>
  <si>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</si>
  <si>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</si>
  <si>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</si>
  <si>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</si>
  <si>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</si>
  <si>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</si>
  <si>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</si>
  <si>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</si>
  <si>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</si>
  <si>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</si>
  <si>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</si>
  <si>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</si>
  <si>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</si>
  <si>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</si>
  <si>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</si>
  <si>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</si>
  <si>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</si>
  <si>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</si>
  <si>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</si>
  <si>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</si>
  <si>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</si>
  <si>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</si>
  <si>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</si>
  <si>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</si>
  <si>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</si>
  <si>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</si>
  <si>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</si>
  <si>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</si>
  <si>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</si>
  <si>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</si>
  <si>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</si>
  <si>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</si>
  <si>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</si>
  <si>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</si>
  <si>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</si>
  <si>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</si>
  <si>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</si>
  <si>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</si>
  <si>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</si>
  <si>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</si>
  <si>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</si>
  <si>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</si>
  <si>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</si>
  <si>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</si>
  <si>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</si>
  <si>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</si>
  <si>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</si>
  <si>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</si>
  <si>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</si>
  <si>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</si>
  <si>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</si>
  <si>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</si>
  <si>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</si>
  <si>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</si>
  <si>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</si>
  <si>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</si>
  <si>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</si>
  <si>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</si>
  <si>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</si>
  <si>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</si>
  <si>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</si>
  <si>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</si>
  <si>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</si>
  <si>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</si>
  <si>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</si>
  <si>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</si>
  <si>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</si>
  <si>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</si>
  <si>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</si>
  <si>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</si>
  <si>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</si>
  <si>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</si>
  <si>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</si>
  <si>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</si>
  <si>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</si>
  <si>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</si>
  <si>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</si>
  <si>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</si>
  <si>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</si>
  <si>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</si>
  <si>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</si>
  <si>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</si>
  <si>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</si>
  <si>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</si>
  <si>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</si>
  <si>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</si>
  <si>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</si>
  <si>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</si>
  <si>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</si>
  <si>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</si>
  <si>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</si>
  <si>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</si>
  <si>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</si>
  <si>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</si>
  <si>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</si>
  <si>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</si>
  <si>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</si>
  <si>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</si>
  <si>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</si>
  <si>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</si>
  <si>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</si>
  <si>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</si>
  <si>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</si>
  <si>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</si>
  <si>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</si>
  <si>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</si>
  <si>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</si>
  <si>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</si>
  <si>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</si>
  <si>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</si>
  <si>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</si>
  <si>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</si>
  <si>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</si>
  <si>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</si>
  <si>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</si>
  <si>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</si>
  <si>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</si>
  <si>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</si>
  <si>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</si>
  <si>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</si>
  <si>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</si>
  <si>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</si>
  <si>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</si>
  <si>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</si>
  <si>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</si>
  <si>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</si>
  <si>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</si>
  <si>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</si>
  <si>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</si>
  <si>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</si>
  <si>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</si>
  <si>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</si>
  <si>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</si>
  <si>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</si>
  <si>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</si>
  <si>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</si>
  <si>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</si>
  <si>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</si>
  <si>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</si>
  <si>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</si>
  <si>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</si>
  <si>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</si>
  <si>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</si>
  <si>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</si>
  <si>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</si>
  <si>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</si>
  <si>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</si>
  <si>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</si>
  <si>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</si>
  <si>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</si>
  <si>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</si>
  <si>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</si>
  <si>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</si>
  <si>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</si>
  <si>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</si>
  <si>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</si>
  <si>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</si>
  <si>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</si>
  <si>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</si>
  <si>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</si>
  <si>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</si>
  <si>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</si>
  <si>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</si>
  <si>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</si>
  <si>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</si>
  <si>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</si>
  <si>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</si>
  <si>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</si>
  <si>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</si>
  <si>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</si>
  <si>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</si>
  <si>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</si>
  <si>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</si>
  <si>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</si>
  <si>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</si>
  <si>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</si>
  <si>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</si>
  <si>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</si>
  <si>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</si>
  <si>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</si>
  <si>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</si>
  <si>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</si>
  <si>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</si>
  <si>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</si>
  <si>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</si>
  <si>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</si>
  <si>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</si>
  <si>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</si>
  <si>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</si>
  <si>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</si>
  <si>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</si>
  <si>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</si>
  <si>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</si>
  <si>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</si>
  <si>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</si>
  <si>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</si>
  <si>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</si>
  <si>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</si>
  <si>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</si>
  <si>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</si>
  <si>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</si>
  <si>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</si>
  <si>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</si>
  <si>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</si>
  <si>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</si>
  <si>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</si>
  <si>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</si>
  <si>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</si>
  <si>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</si>
  <si>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</si>
  <si>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</si>
  <si>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</si>
  <si>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</si>
  <si>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</si>
  <si>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</si>
  <si>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</si>
  <si>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</si>
  <si>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</si>
  <si>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</si>
  <si>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</si>
  <si>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</si>
  <si>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</si>
  <si>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</si>
  <si>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</si>
  <si>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</si>
  <si>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</si>
  <si>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</si>
  <si>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</si>
  <si>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</si>
  <si>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</si>
  <si>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</si>
  <si>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</si>
  <si>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</si>
  <si>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</si>
  <si>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</si>
  <si>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</si>
  <si>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</si>
  <si>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</si>
  <si>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</si>
  <si>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</si>
  <si>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</si>
  <si>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</si>
  <si>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</si>
  <si>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</si>
  <si>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</si>
  <si>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</si>
  <si>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</si>
  <si>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</si>
  <si>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</si>
  <si>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</si>
  <si>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</si>
  <si>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</si>
  <si>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</si>
  <si>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</si>
  <si>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</si>
  <si>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</si>
  <si>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</si>
  <si>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</si>
  <si>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</si>
  <si>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</si>
  <si>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</si>
  <si>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</si>
  <si>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</si>
  <si>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</si>
  <si>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</si>
  <si>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</si>
  <si>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</si>
  <si>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</si>
  <si>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</si>
  <si>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</si>
  <si>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</si>
  <si>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</si>
  <si>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</si>
  <si>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</si>
  <si>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</si>
  <si>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</si>
  <si>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</si>
  <si>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</si>
  <si>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</si>
  <si>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</si>
  <si>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</si>
  <si>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</si>
  <si>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</si>
  <si>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</si>
  <si>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</si>
  <si>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</si>
  <si>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</si>
  <si>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</si>
  <si>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</si>
  <si>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</si>
  <si>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</si>
  <si>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</si>
  <si>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</si>
  <si>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</si>
  <si>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</si>
  <si>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</si>
  <si>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</si>
  <si>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</si>
  <si>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</si>
  <si>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</si>
  <si>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</si>
  <si>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</si>
  <si>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</si>
  <si>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</si>
  <si>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</si>
  <si>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</si>
  <si>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</si>
  <si>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</si>
  <si>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</si>
  <si>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</si>
  <si>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</si>
  <si>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</si>
  <si>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</si>
  <si>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</si>
  <si>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</si>
  <si>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</si>
  <si>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</si>
  <si>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</si>
  <si>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</si>
  <si>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</si>
  <si>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</si>
  <si>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</si>
  <si>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</si>
  <si>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</si>
  <si>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</si>
  <si>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</si>
  <si>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</si>
  <si>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</si>
  <si>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</si>
  <si>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</si>
  <si>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</si>
  <si>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</si>
  <si>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</si>
  <si>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</si>
  <si>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</si>
  <si>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</si>
  <si>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</si>
  <si>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</si>
  <si>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</si>
  <si>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</si>
  <si>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</si>
  <si>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</si>
  <si>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</si>
  <si>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</si>
  <si>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</si>
  <si>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</si>
  <si>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</si>
  <si>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</si>
  <si>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</si>
  <si>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</si>
  <si>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</si>
  <si>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</si>
  <si>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</si>
  <si>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</si>
  <si>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</si>
  <si>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</si>
  <si>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</si>
  <si>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</si>
  <si>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</si>
  <si>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</si>
  <si>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</si>
  <si>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</si>
  <si>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</si>
  <si>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</si>
  <si>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</si>
  <si>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</si>
  <si>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</si>
  <si>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</si>
  <si>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</si>
  <si>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</si>
  <si>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</si>
  <si>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</si>
  <si>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</si>
  <si>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</si>
  <si>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</si>
  <si>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</si>
  <si>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</si>
  <si>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</si>
  <si>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</si>
  <si>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</si>
  <si>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</si>
  <si>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</si>
  <si>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</si>
  <si>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</si>
  <si>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</si>
  <si>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</si>
  <si>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</si>
  <si>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</si>
  <si>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</si>
  <si>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</si>
  <si>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</si>
  <si>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</si>
  <si>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</si>
  <si>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</si>
  <si>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</si>
  <si>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</si>
  <si>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</si>
  <si>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</si>
  <si>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</si>
  <si>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</si>
  <si>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</si>
  <si>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</si>
  <si>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</si>
  <si>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</si>
  <si>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</si>
  <si>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</si>
  <si>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</si>
  <si>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</si>
  <si>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</si>
  <si>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</si>
  <si>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</si>
  <si>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</si>
  <si>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</si>
  <si>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</si>
  <si>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</si>
  <si>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</si>
  <si>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</si>
  <si>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</si>
  <si>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</si>
  <si>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</si>
  <si>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</si>
  <si>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</si>
  <si>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</si>
  <si>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</si>
  <si>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</si>
  <si>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</si>
  <si>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</si>
  <si>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</si>
  <si>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</si>
  <si>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</si>
  <si>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</si>
  <si>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</si>
  <si>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</si>
  <si>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</si>
  <si>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</si>
  <si>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</si>
  <si>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</si>
  <si>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</si>
  <si>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</si>
  <si>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</si>
  <si>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</si>
  <si>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</si>
  <si>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</si>
  <si>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</si>
  <si>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</si>
  <si>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</si>
  <si>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</si>
  <si>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</si>
  <si>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</si>
  <si>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</si>
  <si>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</si>
  <si>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</si>
  <si>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</si>
  <si>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</si>
  <si>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</si>
  <si>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</si>
  <si>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</si>
  <si>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</si>
  <si>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</si>
  <si>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</si>
  <si>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</si>
  <si>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</si>
  <si>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</si>
  <si>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</si>
  <si>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</si>
  <si>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</si>
  <si>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</si>
  <si>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</si>
  <si>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</si>
  <si>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</si>
  <si>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</si>
  <si>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</si>
  <si>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</si>
  <si>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</si>
  <si>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</si>
  <si>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</si>
  <si>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</si>
  <si>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</si>
  <si>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</si>
  <si>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</si>
  <si>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</si>
  <si>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</si>
  <si>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</si>
  <si>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</si>
  <si>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</si>
  <si>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</si>
  <si>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</si>
  <si>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</si>
  <si>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</si>
  <si>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</si>
  <si>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</si>
  <si>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</si>
  <si>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</si>
  <si>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</si>
  <si>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</si>
  <si>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</si>
  <si>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</si>
  <si>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</si>
  <si>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</si>
  <si>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</si>
  <si>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</si>
  <si>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</si>
  <si>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</si>
  <si>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</si>
  <si>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</si>
  <si>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</si>
  <si>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</si>
  <si>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</si>
  <si>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</si>
  <si>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</si>
  <si>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</si>
  <si>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</si>
  <si>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</si>
  <si>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</si>
  <si>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</si>
  <si>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</si>
  <si>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</si>
  <si>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</si>
  <si>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</si>
  <si>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</si>
  <si>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</si>
  <si>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</si>
  <si>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</si>
  <si>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</si>
  <si>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</si>
  <si>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</si>
  <si>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</si>
  <si>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</si>
  <si>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</si>
  <si>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</si>
  <si>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</si>
  <si>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</si>
  <si>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</si>
  <si>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</si>
  <si>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</si>
  <si>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</si>
  <si>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</si>
  <si>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</si>
  <si>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</si>
  <si>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</si>
  <si>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</si>
  <si>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</si>
  <si>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</si>
  <si>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</si>
  <si>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</si>
  <si>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</si>
  <si>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</si>
  <si>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</si>
  <si>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</si>
  <si>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</si>
  <si>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</si>
  <si>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</si>
  <si>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</si>
  <si>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</si>
  <si>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</si>
  <si>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</si>
  <si>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</si>
  <si>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</si>
  <si>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</si>
  <si>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</si>
  <si>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</si>
  <si>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</si>
  <si>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</si>
  <si>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</si>
  <si>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</si>
  <si>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</si>
  <si>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</si>
  <si>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</si>
  <si>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</si>
  <si>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</si>
  <si>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</si>
  <si>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</si>
  <si>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</si>
  <si>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</si>
  <si>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</si>
  <si>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</si>
  <si>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</si>
  <si>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</si>
  <si>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</si>
  <si>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</si>
  <si>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</si>
  <si>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</si>
  <si>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</si>
  <si>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</si>
  <si>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</si>
  <si>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</si>
  <si>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</si>
  <si>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</si>
  <si>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</si>
  <si>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</si>
  <si>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</si>
  <si>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</si>
  <si>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</si>
  <si>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</si>
  <si>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</si>
  <si>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</si>
  <si>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</si>
  <si>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</si>
  <si>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</si>
  <si>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</si>
  <si>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</si>
  <si>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</si>
  <si>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</si>
  <si>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</si>
  <si>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</si>
  <si>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</si>
  <si>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</si>
  <si>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</si>
  <si>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</si>
  <si>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</si>
  <si>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</si>
  <si>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</si>
  <si>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</si>
  <si>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</si>
  <si>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</si>
  <si>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</si>
  <si>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</si>
  <si>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</si>
  <si>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</si>
  <si>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</si>
  <si>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</si>
  <si>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</si>
  <si>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</si>
  <si>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</si>
  <si>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</si>
  <si>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</si>
  <si>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</si>
  <si>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</si>
  <si>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</si>
  <si>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</si>
  <si>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</si>
  <si>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</si>
  <si>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</si>
  <si>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</si>
  <si>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</si>
  <si>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</si>
  <si>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</si>
  <si>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</si>
  <si>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</si>
  <si>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</si>
  <si>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</si>
  <si>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</si>
  <si>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</si>
  <si>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</si>
  <si>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</si>
  <si>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</si>
  <si>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</si>
  <si>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</si>
  <si>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</si>
  <si>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</si>
  <si>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</si>
  <si>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</si>
  <si>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</si>
  <si>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</si>
  <si>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</si>
  <si>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</si>
  <si>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</si>
  <si>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</si>
  <si>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</si>
  <si>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</si>
  <si>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</si>
  <si>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</si>
  <si>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</si>
  <si>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</si>
  <si>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</si>
  <si>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</si>
  <si>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</si>
  <si>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</si>
  <si>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</si>
  <si>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</si>
  <si>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</si>
  <si>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</si>
  <si>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</si>
  <si>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</si>
  <si>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</si>
  <si>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</si>
  <si>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</si>
  <si>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</si>
  <si>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</si>
  <si>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</si>
  <si>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</si>
  <si>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</si>
  <si>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</si>
  <si>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</si>
  <si>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</si>
  <si>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</si>
  <si>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</si>
  <si>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</si>
  <si>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</si>
  <si>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</si>
  <si>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</si>
  <si>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</si>
  <si>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</si>
  <si>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</si>
  <si>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</si>
  <si>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</si>
  <si>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</si>
  <si>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</si>
  <si>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</si>
  <si>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</si>
  <si>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</si>
  <si>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</si>
  <si>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</si>
  <si>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</si>
  <si>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</si>
  <si>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</si>
  <si>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</si>
  <si>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</si>
  <si>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</si>
  <si>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</si>
  <si>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</si>
  <si>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</si>
  <si>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</si>
  <si>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</si>
  <si>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</si>
  <si>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</si>
  <si>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</si>
  <si>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</si>
  <si>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</si>
  <si>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</si>
  <si>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</si>
  <si>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</si>
  <si>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</si>
  <si>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</si>
  <si>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</si>
  <si>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</si>
  <si>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</si>
  <si>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</si>
  <si>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</si>
  <si>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</si>
  <si>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</si>
  <si>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</si>
  <si>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</si>
  <si>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</si>
  <si>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</si>
  <si>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</si>
  <si>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</si>
  <si>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</si>
  <si>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</si>
  <si>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</si>
  <si>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</si>
  <si>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</si>
  <si>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</si>
  <si>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</si>
  <si>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</si>
  <si>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</si>
  <si>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</si>
  <si>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</si>
  <si>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</si>
  <si>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</si>
  <si>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</si>
  <si>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</si>
  <si>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</si>
  <si>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</si>
  <si>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</si>
  <si>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</si>
  <si>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</si>
  <si>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</si>
  <si>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</si>
  <si>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</si>
  <si>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</si>
  <si>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</si>
  <si>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</si>
  <si>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</si>
  <si>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</si>
  <si>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</si>
  <si>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</si>
  <si>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</si>
  <si>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</si>
  <si>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</si>
  <si>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</si>
  <si>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</si>
  <si>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</si>
  <si>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</si>
  <si>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</si>
  <si>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</si>
  <si>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</si>
  <si>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</si>
  <si>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</si>
  <si>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</si>
  <si>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</si>
  <si>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</si>
  <si>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</si>
  <si>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</si>
  <si>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</si>
  <si>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</si>
  <si>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</si>
  <si>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</si>
  <si>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</si>
  <si>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</si>
  <si>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</si>
  <si>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</si>
  <si>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</si>
  <si>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</si>
  <si>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</si>
  <si>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</si>
  <si>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</si>
  <si>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</si>
  <si>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</si>
  <si>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</si>
  <si>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</si>
  <si>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</si>
  <si>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</si>
  <si>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</si>
  <si>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</si>
  <si>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</si>
  <si>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</si>
  <si>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</si>
  <si>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</si>
  <si>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</si>
  <si>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</si>
  <si>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</si>
  <si>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</si>
  <si>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</si>
  <si>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</si>
  <si>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</si>
  <si>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</si>
  <si>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</si>
  <si>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</si>
  <si>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</si>
  <si>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</si>
  <si>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</si>
  <si>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</si>
  <si>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</si>
  <si>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</si>
  <si>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</si>
  <si>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</si>
  <si>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</si>
  <si>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</si>
  <si>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</si>
  <si>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</si>
  <si>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</si>
  <si>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</si>
  <si>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</si>
  <si>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</si>
  <si>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</si>
  <si>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</si>
  <si>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</si>
  <si>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</si>
  <si>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</si>
  <si>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</si>
  <si>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</si>
  <si>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</si>
  <si>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</si>
  <si>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</si>
  <si>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</si>
  <si>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</si>
  <si>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</si>
  <si>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</si>
  <si>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</si>
  <si>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</si>
  <si>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</si>
  <si>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</si>
  <si>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</si>
  <si>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</si>
  <si>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</si>
  <si>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</si>
  <si>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</si>
  <si>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</si>
  <si>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</si>
  <si>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</si>
  <si>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</si>
  <si>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</si>
  <si>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</si>
  <si>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</si>
  <si>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</si>
  <si>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</si>
  <si>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</si>
  <si>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</si>
  <si>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</si>
  <si>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</si>
  <si>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</si>
  <si>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</si>
  <si>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</si>
  <si>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</si>
  <si>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</si>
  <si>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</si>
  <si>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</si>
  <si>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</si>
  <si>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愛知県碧南市吹上町4丁目36</t>
    <phoneticPr fontId="1"/>
  </si>
  <si>
    <t>代表取締役　鈴木　康仁</t>
  </si>
  <si>
    <t>-</t>
    <phoneticPr fontId="1"/>
  </si>
  <si>
    <t>?</t>
    <phoneticPr fontId="10"/>
  </si>
  <si>
    <t>-</t>
    <phoneticPr fontId="10"/>
  </si>
  <si>
    <t>"-&gt; Changed"</t>
    <phoneticPr fontId="10"/>
  </si>
  <si>
    <t>ワイズ通商　株式会社</t>
    <phoneticPr fontId="1"/>
  </si>
  <si>
    <t>三河342み1</t>
    <phoneticPr fontId="1"/>
  </si>
  <si>
    <t>ポルシェ</t>
    <phoneticPr fontId="1"/>
  </si>
  <si>
    <t>平成23年11月</t>
    <phoneticPr fontId="1"/>
  </si>
  <si>
    <t>愛知県碧南市吹上町4丁目1-9</t>
    <phoneticPr fontId="1"/>
  </si>
  <si>
    <t>WP0ZZZ97ZBL080607</t>
    <phoneticPr fontId="1"/>
  </si>
  <si>
    <t>-</t>
    <phoneticPr fontId="1"/>
  </si>
  <si>
    <t>ワイズ通商　株式会社             代表取締役　鈴木　康仁</t>
    <phoneticPr fontId="1"/>
  </si>
</sst>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6">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
      <sz val="11"/>
      <color indexed="17"/>
      <name val="ＭＳ Ｐゴシック"/>
      <family val="3"/>
      <charset val="128"/>
    </font>
  </fonts>
  <fills count="20">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
      <patternFill patternType="solid">
        <fgColor indexed="42"/>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s>
  <cellStyleXfs count="7">
    <xf numFmtId="0" fontId="0" fillId="0" borderId="0"/>
    <xf numFmtId="0" fontId="9" fillId="0" borderId="0">
      <alignment vertical="center"/>
    </xf>
    <xf numFmtId="0" fontId="15" fillId="7"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xf numFmtId="0" fontId="25" fillId="19" borderId="0" applyNumberFormat="0" applyBorder="0" applyAlignment="0" applyProtection="0">
      <alignment vertical="center"/>
    </xf>
    <xf numFmtId="38" fontId="13" fillId="0" borderId="0" applyFont="0" applyFill="0" applyBorder="0" applyAlignment="0" applyProtection="0">
      <alignment vertical="center"/>
    </xf>
  </cellStyleXfs>
  <cellXfs count="40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7"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2" fillId="0" borderId="26"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30" xfId="0" applyFont="1" applyBorder="1" applyAlignment="1">
      <alignment horizontal="left" vertical="center"/>
    </xf>
    <xf numFmtId="0" fontId="2" fillId="0" borderId="18" xfId="0" applyFont="1" applyBorder="1" applyAlignment="1">
      <alignment horizontal="center" vertical="center"/>
    </xf>
    <xf numFmtId="0" fontId="4" fillId="0" borderId="0" xfId="0" applyFont="1" applyBorder="1" applyAlignment="1">
      <alignment vertical="center"/>
    </xf>
    <xf numFmtId="0" fontId="2" fillId="0" borderId="69" xfId="0" applyFont="1" applyBorder="1" applyAlignment="1">
      <alignment vertical="center"/>
    </xf>
    <xf numFmtId="0" fontId="2" fillId="0" borderId="70" xfId="0" applyFont="1" applyBorder="1" applyAlignment="1">
      <alignment horizontal="right" vertical="center"/>
    </xf>
    <xf numFmtId="0" fontId="2" fillId="0" borderId="70" xfId="0" applyFont="1" applyBorder="1" applyAlignment="1">
      <alignment horizontal="center" vertical="center"/>
    </xf>
    <xf numFmtId="0" fontId="7" fillId="0" borderId="71" xfId="0" applyFont="1" applyBorder="1" applyAlignment="1">
      <alignment horizontal="center" vertical="center"/>
    </xf>
    <xf numFmtId="0" fontId="2" fillId="0" borderId="72" xfId="0" applyFont="1" applyBorder="1" applyAlignment="1">
      <alignment vertical="center"/>
    </xf>
    <xf numFmtId="0" fontId="0" fillId="0" borderId="22" xfId="0" applyBorder="1"/>
    <xf numFmtId="0" fontId="0" fillId="0" borderId="18" xfId="0" applyBorder="1"/>
    <xf numFmtId="0" fontId="0" fillId="0" borderId="73" xfId="0" applyBorder="1"/>
    <xf numFmtId="0" fontId="0" fillId="0" borderId="71"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4" xfId="0" applyBorder="1" applyAlignment="1">
      <alignment horizontal="center"/>
    </xf>
    <xf numFmtId="0" fontId="0" fillId="0" borderId="13" xfId="0" applyFill="1" applyBorder="1" applyAlignment="1">
      <alignment horizontal="center"/>
    </xf>
    <xf numFmtId="0" fontId="0" fillId="0" borderId="75"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6" xfId="0" applyFont="1" applyFill="1" applyBorder="1" applyAlignment="1">
      <alignment vertical="center"/>
    </xf>
    <xf numFmtId="0" fontId="2" fillId="0" borderId="77" xfId="0" applyFont="1" applyBorder="1" applyAlignment="1">
      <alignment vertical="center"/>
    </xf>
    <xf numFmtId="0" fontId="2" fillId="6" borderId="68" xfId="0" applyFont="1" applyFill="1" applyBorder="1" applyAlignment="1">
      <alignment vertical="center"/>
    </xf>
    <xf numFmtId="0" fontId="2" fillId="0" borderId="46" xfId="0" applyFont="1" applyBorder="1" applyAlignment="1">
      <alignment vertical="center"/>
    </xf>
    <xf numFmtId="0" fontId="2" fillId="6" borderId="78" xfId="0" applyFont="1" applyFill="1" applyBorder="1" applyAlignment="1">
      <alignment vertical="center"/>
    </xf>
    <xf numFmtId="0" fontId="2" fillId="5" borderId="77" xfId="0" applyFont="1" applyFill="1" applyBorder="1" applyAlignment="1">
      <alignment vertical="center"/>
    </xf>
    <xf numFmtId="0" fontId="2" fillId="5" borderId="46" xfId="0" applyFont="1" applyFill="1" applyBorder="1" applyAlignment="1">
      <alignment vertical="center"/>
    </xf>
    <xf numFmtId="0" fontId="2" fillId="0" borderId="79" xfId="0" applyFont="1" applyBorder="1" applyAlignment="1">
      <alignment vertical="center"/>
    </xf>
    <xf numFmtId="0" fontId="2" fillId="0" borderId="80"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1"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2"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0"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9" borderId="13" xfId="1" applyFont="1" applyFill="1" applyBorder="1" applyAlignment="1">
      <alignment horizontal="center" vertical="center"/>
    </xf>
    <xf numFmtId="0" fontId="11" fillId="11"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3" borderId="13" xfId="0" applyFont="1" applyFill="1" applyBorder="1" applyAlignment="1">
      <alignment horizontal="center" vertical="center"/>
    </xf>
    <xf numFmtId="0" fontId="19" fillId="13" borderId="13" xfId="0" applyFont="1" applyFill="1" applyBorder="1" applyAlignment="1">
      <alignment horizontal="center" vertical="center" wrapText="1"/>
    </xf>
    <xf numFmtId="0" fontId="19" fillId="13" borderId="13" xfId="1" applyFont="1" applyFill="1" applyBorder="1" applyAlignment="1">
      <alignment horizontal="center" vertical="center"/>
    </xf>
    <xf numFmtId="49" fontId="19" fillId="13" borderId="13" xfId="0" applyNumberFormat="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8" borderId="13" xfId="0" applyFont="1" applyFill="1" applyBorder="1" applyAlignment="1">
      <alignment horizontal="center" vertical="center"/>
    </xf>
    <xf numFmtId="0" fontId="19" fillId="12" borderId="13" xfId="0" applyFont="1" applyFill="1" applyBorder="1" applyAlignment="1">
      <alignment horizontal="center" vertical="center"/>
    </xf>
    <xf numFmtId="0" fontId="19" fillId="12" borderId="13" xfId="1" applyFont="1" applyFill="1" applyBorder="1" applyAlignment="1">
      <alignment horizontal="center" vertical="center"/>
    </xf>
    <xf numFmtId="179" fontId="19" fillId="12"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1"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4" borderId="13" xfId="0" applyFont="1" applyFill="1" applyBorder="1" applyAlignment="1">
      <alignment horizontal="center" vertical="center"/>
    </xf>
    <xf numFmtId="0" fontId="11" fillId="15" borderId="13" xfId="1" applyFont="1" applyFill="1" applyBorder="1" applyAlignment="1">
      <alignment horizontal="center" vertical="center"/>
    </xf>
    <xf numFmtId="0" fontId="11" fillId="15"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15" borderId="13" xfId="0" applyNumberFormat="1" applyFont="1" applyFill="1" applyBorder="1" applyAlignment="1">
      <alignment horizontal="center" vertical="center"/>
    </xf>
    <xf numFmtId="0" fontId="6" fillId="15" borderId="13" xfId="0" applyFont="1" applyFill="1" applyBorder="1" applyAlignment="1">
      <alignment horizontal="center" vertical="center"/>
    </xf>
    <xf numFmtId="0" fontId="0" fillId="15" borderId="13" xfId="0" applyFill="1" applyBorder="1"/>
    <xf numFmtId="0" fontId="21" fillId="15" borderId="13" xfId="0" applyFont="1" applyFill="1" applyBorder="1" applyAlignment="1">
      <alignment horizontal="center" vertical="center"/>
    </xf>
    <xf numFmtId="0" fontId="11" fillId="14"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6" borderId="13" xfId="0" applyFont="1" applyFill="1" applyBorder="1" applyAlignment="1">
      <alignment horizontal="center" vertical="center"/>
    </xf>
    <xf numFmtId="0" fontId="19" fillId="16" borderId="13" xfId="0" applyFont="1" applyFill="1" applyBorder="1" applyAlignment="1">
      <alignment horizontal="center" vertical="center" wrapText="1"/>
    </xf>
    <xf numFmtId="0" fontId="11" fillId="16" borderId="13" xfId="0" applyFont="1" applyFill="1" applyBorder="1" applyAlignment="1">
      <alignment horizontal="center" vertical="center"/>
    </xf>
    <xf numFmtId="0" fontId="11" fillId="16" borderId="40" xfId="1" applyFont="1" applyFill="1" applyBorder="1" applyAlignment="1">
      <alignment horizontal="center" vertical="center"/>
    </xf>
    <xf numFmtId="0" fontId="11" fillId="16" borderId="41"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40" xfId="0" applyFont="1" applyFill="1" applyBorder="1" applyAlignment="1">
      <alignment horizontal="center" vertical="center"/>
    </xf>
    <xf numFmtId="0" fontId="11" fillId="16" borderId="27" xfId="0" applyFont="1" applyFill="1" applyBorder="1" applyAlignment="1">
      <alignment horizontal="center" vertical="center"/>
    </xf>
    <xf numFmtId="0" fontId="11" fillId="16" borderId="57" xfId="0" applyFont="1" applyFill="1" applyBorder="1" applyAlignment="1">
      <alignment horizontal="center" vertical="center"/>
    </xf>
    <xf numFmtId="0" fontId="19" fillId="16"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9" borderId="13" xfId="0" applyFont="1" applyFill="1" applyBorder="1" applyAlignment="1">
      <alignment horizontal="center" vertical="center"/>
    </xf>
    <xf numFmtId="0" fontId="19" fillId="17" borderId="13" xfId="0" applyFont="1" applyFill="1" applyBorder="1" applyAlignment="1">
      <alignment horizontal="center" vertical="center"/>
    </xf>
    <xf numFmtId="0" fontId="19" fillId="13"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8" borderId="13" xfId="0" applyFont="1" applyFill="1" applyBorder="1" applyAlignment="1">
      <alignment horizontal="center"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4" fillId="0" borderId="57" xfId="0" applyFont="1" applyBorder="1" applyAlignment="1">
      <alignment vertical="center"/>
    </xf>
    <xf numFmtId="0" fontId="4" fillId="0" borderId="3" xfId="0" applyFont="1" applyBorder="1" applyAlignment="1">
      <alignment vertical="center"/>
    </xf>
    <xf numFmtId="0" fontId="8" fillId="0" borderId="10" xfId="0" applyFont="1" applyBorder="1" applyAlignment="1"/>
    <xf numFmtId="0" fontId="4" fillId="0" borderId="10" xfId="0" applyFont="1" applyBorder="1" applyAlignment="1">
      <alignment vertical="center"/>
    </xf>
    <xf numFmtId="0" fontId="8" fillId="0" borderId="17" xfId="0" applyFont="1" applyBorder="1" applyAlignment="1"/>
    <xf numFmtId="0" fontId="8" fillId="0" borderId="65" xfId="0" applyFont="1" applyBorder="1" applyAlignment="1"/>
    <xf numFmtId="0" fontId="19" fillId="11" borderId="57" xfId="0" applyFont="1" applyFill="1" applyBorder="1" applyAlignment="1">
      <alignment horizontal="center" vertical="center"/>
    </xf>
    <xf numFmtId="0" fontId="19" fillId="11" borderId="11" xfId="0" applyFont="1" applyFill="1" applyBorder="1" applyAlignment="1">
      <alignment horizontal="center" vertical="center"/>
    </xf>
    <xf numFmtId="0" fontId="19" fillId="11" borderId="12"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9" borderId="26"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7"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3" xfId="0" applyFont="1" applyBorder="1" applyAlignment="1">
      <alignment horizontal="center" vertical="center"/>
    </xf>
    <xf numFmtId="0" fontId="2" fillId="0" borderId="84"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5" xfId="0" applyFont="1" applyBorder="1" applyAlignment="1">
      <alignment horizontal="left" vertical="center"/>
    </xf>
    <xf numFmtId="0" fontId="2" fillId="0" borderId="41" xfId="0" applyFont="1" applyBorder="1" applyAlignment="1">
      <alignment horizontal="left" vertical="center"/>
    </xf>
    <xf numFmtId="0" fontId="1" fillId="0" borderId="66" xfId="0" applyFont="1" applyBorder="1" applyAlignment="1">
      <alignment horizontal="center" vertical="top"/>
    </xf>
    <xf numFmtId="0" fontId="1" fillId="0" borderId="68"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2" xfId="0" applyFont="1" applyBorder="1" applyAlignment="1">
      <alignment horizontal="center" vertical="center"/>
    </xf>
    <xf numFmtId="0" fontId="2" fillId="0" borderId="40" xfId="0" applyFont="1" applyBorder="1" applyAlignment="1">
      <alignment horizontal="left" vertical="center"/>
    </xf>
    <xf numFmtId="177" fontId="2" fillId="0" borderId="76" xfId="0" applyNumberFormat="1" applyFont="1" applyBorder="1" applyAlignment="1">
      <alignment horizontal="center" vertical="center"/>
    </xf>
    <xf numFmtId="177" fontId="2" fillId="0" borderId="68" xfId="0" applyNumberFormat="1" applyFont="1" applyBorder="1" applyAlignment="1">
      <alignment horizontal="center" vertical="center"/>
    </xf>
    <xf numFmtId="0" fontId="8" fillId="0" borderId="9" xfId="0" applyFont="1" applyBorder="1" applyAlignment="1">
      <alignment horizontal="left" vertical="center" wrapText="1"/>
    </xf>
    <xf numFmtId="0" fontId="8" fillId="0" borderId="0" xfId="0" applyFont="1" applyBorder="1" applyAlignment="1">
      <alignment horizontal="left" vertical="center" wrapText="1"/>
    </xf>
    <xf numFmtId="0" fontId="8" fillId="0" borderId="10" xfId="0" applyFont="1" applyBorder="1" applyAlignment="1">
      <alignment horizontal="left" vertical="center" wrapText="1"/>
    </xf>
    <xf numFmtId="0" fontId="2" fillId="0" borderId="52" xfId="0" applyFont="1" applyBorder="1" applyAlignment="1">
      <alignment horizontal="left" vertical="center"/>
    </xf>
    <xf numFmtId="176" fontId="7" fillId="0" borderId="76"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2" xfId="0" applyFont="1" applyBorder="1" applyAlignment="1">
      <alignment horizontal="right" vertical="center"/>
    </xf>
    <xf numFmtId="0" fontId="8" fillId="0" borderId="17" xfId="0" applyFont="1" applyBorder="1" applyAlignment="1">
      <alignment horizontal="left" vertical="center" wrapText="1"/>
    </xf>
    <xf numFmtId="0" fontId="8" fillId="0" borderId="18" xfId="0" applyFont="1" applyBorder="1" applyAlignment="1">
      <alignment horizontal="left" vertical="center" wrapText="1"/>
    </xf>
    <xf numFmtId="0" fontId="8" fillId="0" borderId="65" xfId="0" applyFont="1" applyBorder="1" applyAlignment="1">
      <alignment horizontal="left" vertical="center" wrapText="1"/>
    </xf>
    <xf numFmtId="0" fontId="2" fillId="0" borderId="31" xfId="0" applyFont="1" applyBorder="1" applyAlignment="1">
      <alignment horizontal="left" vertical="center"/>
    </xf>
    <xf numFmtId="0" fontId="2" fillId="0" borderId="38"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2"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2" xfId="0" applyFont="1" applyBorder="1" applyAlignment="1">
      <alignment horizontal="center" vertical="center"/>
    </xf>
    <xf numFmtId="0" fontId="8" fillId="0" borderId="70"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2" fillId="0" borderId="27"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2" xfId="0" applyFont="1" applyBorder="1" applyAlignment="1">
      <alignment horizontal="right" vertical="center"/>
    </xf>
    <xf numFmtId="0" fontId="2" fillId="0" borderId="40" xfId="0" applyFont="1" applyBorder="1" applyAlignment="1">
      <alignment horizontal="center" vertical="center"/>
    </xf>
    <xf numFmtId="0" fontId="2" fillId="0" borderId="27" xfId="0" applyFont="1" applyBorder="1" applyAlignment="1">
      <alignment horizontal="center" vertical="center"/>
    </xf>
    <xf numFmtId="0" fontId="2" fillId="0" borderId="31"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26"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2"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43" xfId="0" applyFont="1" applyBorder="1" applyAlignment="1">
      <alignment horizontal="left" vertical="center"/>
    </xf>
    <xf numFmtId="0" fontId="2" fillId="0" borderId="10" xfId="0" applyFont="1" applyBorder="1" applyAlignment="1">
      <alignment horizontal="center" vertical="center"/>
    </xf>
    <xf numFmtId="0" fontId="2" fillId="0" borderId="42" xfId="0" applyFont="1" applyBorder="1" applyAlignment="1">
      <alignment horizontal="left" vertical="center"/>
    </xf>
    <xf numFmtId="0" fontId="2" fillId="0" borderId="43" xfId="0" applyFont="1" applyBorder="1" applyAlignment="1">
      <alignment horizontal="center" vertical="center"/>
    </xf>
    <xf numFmtId="0" fontId="2" fillId="0" borderId="14" xfId="0" applyFont="1" applyBorder="1" applyAlignment="1">
      <alignment horizontal="center" vertical="center"/>
    </xf>
    <xf numFmtId="0" fontId="7" fillId="0" borderId="0" xfId="0" applyFont="1" applyAlignment="1">
      <alignment horizontal="right" vertical="center"/>
    </xf>
    <xf numFmtId="0" fontId="4" fillId="0" borderId="70" xfId="0" applyFont="1" applyBorder="1" applyAlignment="1">
      <alignment horizontal="right" vertical="center"/>
    </xf>
    <xf numFmtId="0" fontId="4" fillId="0" borderId="19" xfId="0" applyFont="1" applyBorder="1" applyAlignment="1">
      <alignment horizontal="right" vertical="center"/>
    </xf>
    <xf numFmtId="0" fontId="4" fillId="0" borderId="69" xfId="0" applyFont="1" applyBorder="1" applyAlignment="1">
      <alignment horizontal="right" vertical="center"/>
    </xf>
    <xf numFmtId="0" fontId="2" fillId="0" borderId="86"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cellXfs>
  <cellStyles count="7">
    <cellStyle name="桁区切り" xfId="4" builtinId="6"/>
    <cellStyle name="桁区切り 2" xfId="6"/>
    <cellStyle name="標準" xfId="0" builtinId="0"/>
    <cellStyle name="標準 2" xfId="3"/>
    <cellStyle name="標準_Sheet1" xfId="1"/>
    <cellStyle name="良い" xfId="2" builtinId="26"/>
    <cellStyle name="良い 2"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6"/>
  <dimension ref="A1:AJ156"/>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2" sqref="A2:A151"/>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16384" width="9" style="199"/>
  </cols>
  <sheetData>
    <row r="1" spans="1:36"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row>
    <row r="2" spans="1:36" ht="22.5" customHeight="1">
      <c r="A2" s="205">
        <v>4488</v>
      </c>
      <c r="B2" s="205" t="s">
        <v>1218</v>
      </c>
      <c r="C2" s="253" t="s">
        <v>1206</v>
      </c>
      <c r="D2" s="206" t="str">
        <f t="shared" ref="D2:D33" si="0">CONCATENATE(B2,A2)</f>
        <v>横浜100か4488</v>
      </c>
      <c r="E2" s="205" t="s">
        <v>1219</v>
      </c>
      <c r="F2" s="205" t="s">
        <v>1220</v>
      </c>
      <c r="G2" s="205" t="s">
        <v>1772</v>
      </c>
      <c r="H2" s="206" t="s">
        <v>1221</v>
      </c>
      <c r="I2" s="207" t="s">
        <v>1222</v>
      </c>
      <c r="J2" s="207" t="s">
        <v>1223</v>
      </c>
      <c r="K2" s="205" t="s">
        <v>1769</v>
      </c>
      <c r="L2" s="265" t="s">
        <v>162</v>
      </c>
      <c r="M2" s="206" t="s">
        <v>1769</v>
      </c>
      <c r="N2" s="206" t="s">
        <v>1769</v>
      </c>
      <c r="O2" s="208" t="s">
        <v>1769</v>
      </c>
      <c r="P2" s="205" t="s">
        <v>1224</v>
      </c>
      <c r="Q2" s="205" t="s">
        <v>1205</v>
      </c>
      <c r="R2" s="205" t="s">
        <v>1769</v>
      </c>
      <c r="S2" s="205" t="s">
        <v>1180</v>
      </c>
      <c r="T2" s="205" t="s">
        <v>456</v>
      </c>
      <c r="U2" s="206" t="s">
        <v>1769</v>
      </c>
      <c r="V2" s="206" t="s">
        <v>1769</v>
      </c>
      <c r="W2" s="205" t="s">
        <v>1769</v>
      </c>
      <c r="X2" s="205" t="s">
        <v>1769</v>
      </c>
      <c r="Y2" s="208" t="s">
        <v>1769</v>
      </c>
      <c r="Z2" s="205" t="s">
        <v>254</v>
      </c>
      <c r="AA2" s="205" t="s">
        <v>1769</v>
      </c>
      <c r="AB2" s="205" t="s">
        <v>254</v>
      </c>
      <c r="AC2" s="205" t="s">
        <v>457</v>
      </c>
      <c r="AD2" s="205" t="s">
        <v>323</v>
      </c>
      <c r="AE2" s="246" t="s">
        <v>1769</v>
      </c>
      <c r="AF2" s="246">
        <v>594200</v>
      </c>
      <c r="AG2" s="246">
        <v>652800</v>
      </c>
      <c r="AH2" s="246" t="s">
        <v>1769</v>
      </c>
      <c r="AI2" s="246" t="s">
        <v>1769</v>
      </c>
      <c r="AJ2" s="246" t="s">
        <v>1769</v>
      </c>
    </row>
    <row r="3" spans="1:36"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64" t="s">
        <v>1769</v>
      </c>
      <c r="P3" s="209" t="s">
        <v>1224</v>
      </c>
      <c r="Q3" s="205" t="s">
        <v>1205</v>
      </c>
      <c r="R3" s="211" t="s">
        <v>1769</v>
      </c>
      <c r="S3" s="205" t="s">
        <v>1180</v>
      </c>
      <c r="T3" s="210" t="s">
        <v>1226</v>
      </c>
      <c r="U3" s="206" t="s">
        <v>1769</v>
      </c>
      <c r="V3" s="206" t="s">
        <v>1769</v>
      </c>
      <c r="W3" s="205" t="s">
        <v>1769</v>
      </c>
      <c r="X3" s="205" t="s">
        <v>1769</v>
      </c>
      <c r="Y3" s="208" t="s">
        <v>1769</v>
      </c>
      <c r="Z3" s="205" t="s">
        <v>254</v>
      </c>
      <c r="AA3" s="205" t="s">
        <v>1769</v>
      </c>
      <c r="AB3" s="205" t="s">
        <v>254</v>
      </c>
      <c r="AC3" s="205" t="s">
        <v>457</v>
      </c>
      <c r="AD3" s="209" t="s">
        <v>323</v>
      </c>
      <c r="AE3" s="246" t="s">
        <v>1769</v>
      </c>
      <c r="AF3" s="246">
        <v>911100</v>
      </c>
      <c r="AG3" s="246">
        <v>943200</v>
      </c>
      <c r="AH3" s="246" t="s">
        <v>1769</v>
      </c>
      <c r="AI3" s="246" t="s">
        <v>1769</v>
      </c>
      <c r="AJ3" s="246" t="s">
        <v>1769</v>
      </c>
    </row>
    <row r="4" spans="1:36">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12">
        <v>206010</v>
      </c>
      <c r="P4" s="205" t="s">
        <v>1224</v>
      </c>
      <c r="Q4" s="205" t="s">
        <v>1205</v>
      </c>
      <c r="R4" s="205" t="s">
        <v>1769</v>
      </c>
      <c r="S4" s="205" t="s">
        <v>1180</v>
      </c>
      <c r="T4" s="205" t="s">
        <v>179</v>
      </c>
      <c r="U4" s="205" t="s">
        <v>1769</v>
      </c>
      <c r="V4" s="205" t="s">
        <v>1769</v>
      </c>
      <c r="W4" s="205" t="s">
        <v>1769</v>
      </c>
      <c r="X4" s="205" t="s">
        <v>1769</v>
      </c>
      <c r="Y4" s="212" t="s">
        <v>1769</v>
      </c>
      <c r="Z4" s="205" t="s">
        <v>254</v>
      </c>
      <c r="AA4" s="205" t="s">
        <v>1769</v>
      </c>
      <c r="AB4" s="205" t="s">
        <v>254</v>
      </c>
      <c r="AC4" s="205" t="s">
        <v>457</v>
      </c>
      <c r="AD4" s="209" t="s">
        <v>323</v>
      </c>
      <c r="AE4" s="246" t="s">
        <v>1769</v>
      </c>
      <c r="AF4" s="246">
        <v>234900</v>
      </c>
      <c r="AG4" s="246">
        <v>244200</v>
      </c>
      <c r="AH4" s="246" t="s">
        <v>1769</v>
      </c>
      <c r="AI4" s="246" t="s">
        <v>1769</v>
      </c>
      <c r="AJ4" s="246" t="s">
        <v>1769</v>
      </c>
    </row>
    <row r="5" spans="1:36">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08">
        <v>194250</v>
      </c>
      <c r="P5" s="209" t="s">
        <v>1224</v>
      </c>
      <c r="Q5" s="205" t="s">
        <v>1205</v>
      </c>
      <c r="R5" s="211" t="s">
        <v>1769</v>
      </c>
      <c r="S5" s="205" t="s">
        <v>1180</v>
      </c>
      <c r="T5" s="205" t="s">
        <v>1226</v>
      </c>
      <c r="U5" s="206" t="s">
        <v>1769</v>
      </c>
      <c r="V5" s="206" t="s">
        <v>1769</v>
      </c>
      <c r="W5" s="205" t="s">
        <v>1769</v>
      </c>
      <c r="X5" s="205" t="s">
        <v>1769</v>
      </c>
      <c r="Y5" s="208" t="s">
        <v>1769</v>
      </c>
      <c r="Z5" s="205" t="s">
        <v>254</v>
      </c>
      <c r="AA5" s="205" t="s">
        <v>1769</v>
      </c>
      <c r="AB5" s="205" t="s">
        <v>254</v>
      </c>
      <c r="AC5" s="205" t="s">
        <v>457</v>
      </c>
      <c r="AD5" s="209" t="s">
        <v>323</v>
      </c>
      <c r="AE5" s="246" t="s">
        <v>1769</v>
      </c>
      <c r="AF5" s="246">
        <v>544900</v>
      </c>
      <c r="AG5" s="246">
        <v>561300</v>
      </c>
      <c r="AH5" s="246" t="s">
        <v>1769</v>
      </c>
      <c r="AI5" s="246" t="s">
        <v>1769</v>
      </c>
      <c r="AJ5" s="246" t="s">
        <v>1769</v>
      </c>
    </row>
    <row r="6" spans="1:36"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12">
        <v>234360</v>
      </c>
      <c r="P6" s="205" t="s">
        <v>1224</v>
      </c>
      <c r="Q6" s="205" t="s">
        <v>1205</v>
      </c>
      <c r="R6" s="211" t="s">
        <v>1816</v>
      </c>
      <c r="S6" s="205" t="s">
        <v>1180</v>
      </c>
      <c r="T6" s="205" t="s">
        <v>1769</v>
      </c>
      <c r="U6" s="205" t="s">
        <v>1769</v>
      </c>
      <c r="V6" s="205" t="s">
        <v>1769</v>
      </c>
      <c r="W6" s="205" t="s">
        <v>1769</v>
      </c>
      <c r="X6" s="205" t="s">
        <v>1769</v>
      </c>
      <c r="Y6" s="212" t="s">
        <v>1769</v>
      </c>
      <c r="Z6" s="205" t="s">
        <v>254</v>
      </c>
      <c r="AA6" s="205" t="s">
        <v>1769</v>
      </c>
      <c r="AB6" s="205" t="s">
        <v>254</v>
      </c>
      <c r="AC6" s="205" t="s">
        <v>457</v>
      </c>
      <c r="AD6" s="209" t="s">
        <v>323</v>
      </c>
      <c r="AE6" s="246">
        <v>200300</v>
      </c>
      <c r="AF6" s="246" t="s">
        <v>1769</v>
      </c>
      <c r="AG6" s="246">
        <v>232200</v>
      </c>
      <c r="AH6" s="246" t="s">
        <v>1769</v>
      </c>
      <c r="AI6" s="246" t="s">
        <v>1769</v>
      </c>
      <c r="AJ6" s="246" t="s">
        <v>1769</v>
      </c>
    </row>
    <row r="7" spans="1:36">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12">
        <v>170964</v>
      </c>
      <c r="P7" s="205" t="s">
        <v>1224</v>
      </c>
      <c r="Q7" s="205" t="s">
        <v>1205</v>
      </c>
      <c r="R7" s="205" t="s">
        <v>1769</v>
      </c>
      <c r="S7" s="205" t="s">
        <v>1180</v>
      </c>
      <c r="T7" s="205" t="s">
        <v>1769</v>
      </c>
      <c r="U7" s="205" t="s">
        <v>1769</v>
      </c>
      <c r="V7" s="205" t="s">
        <v>1769</v>
      </c>
      <c r="W7" s="205" t="s">
        <v>1769</v>
      </c>
      <c r="X7" s="205" t="s">
        <v>1769</v>
      </c>
      <c r="Y7" s="212" t="s">
        <v>1769</v>
      </c>
      <c r="Z7" s="205" t="s">
        <v>254</v>
      </c>
      <c r="AA7" s="205" t="s">
        <v>1769</v>
      </c>
      <c r="AB7" s="205" t="s">
        <v>254</v>
      </c>
      <c r="AC7" s="205" t="s">
        <v>457</v>
      </c>
      <c r="AD7" s="209" t="s">
        <v>323</v>
      </c>
      <c r="AE7" s="246" t="s">
        <v>1769</v>
      </c>
      <c r="AF7" s="246">
        <v>689400</v>
      </c>
      <c r="AG7" s="246">
        <v>760100</v>
      </c>
      <c r="AH7" s="246" t="s">
        <v>1769</v>
      </c>
      <c r="AI7" s="246" t="s">
        <v>1769</v>
      </c>
      <c r="AJ7" s="246" t="s">
        <v>1769</v>
      </c>
    </row>
    <row r="8" spans="1:36"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12" t="s">
        <v>1769</v>
      </c>
      <c r="P8" s="205" t="s">
        <v>1224</v>
      </c>
      <c r="Q8" s="205" t="s">
        <v>1205</v>
      </c>
      <c r="R8" s="205" t="s">
        <v>1769</v>
      </c>
      <c r="S8" s="205" t="s">
        <v>1180</v>
      </c>
      <c r="T8" s="205" t="s">
        <v>1769</v>
      </c>
      <c r="U8" s="205" t="s">
        <v>1769</v>
      </c>
      <c r="V8" s="205" t="s">
        <v>1769</v>
      </c>
      <c r="W8" s="205" t="s">
        <v>1769</v>
      </c>
      <c r="X8" s="205" t="s">
        <v>1769</v>
      </c>
      <c r="Y8" s="212" t="s">
        <v>1769</v>
      </c>
      <c r="Z8" s="205" t="s">
        <v>254</v>
      </c>
      <c r="AA8" s="205" t="s">
        <v>1769</v>
      </c>
      <c r="AB8" s="205" t="s">
        <v>254</v>
      </c>
      <c r="AC8" s="205" t="s">
        <v>457</v>
      </c>
      <c r="AD8" s="209" t="s">
        <v>323</v>
      </c>
      <c r="AE8" s="246">
        <v>96700</v>
      </c>
      <c r="AF8" s="246">
        <v>115700</v>
      </c>
      <c r="AG8" s="246" t="s">
        <v>1769</v>
      </c>
      <c r="AH8" s="246" t="s">
        <v>1769</v>
      </c>
      <c r="AI8" s="246" t="s">
        <v>1769</v>
      </c>
      <c r="AJ8" s="246" t="s">
        <v>1769</v>
      </c>
    </row>
    <row r="9" spans="1:36">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12">
        <v>132930</v>
      </c>
      <c r="P9" s="205" t="s">
        <v>1224</v>
      </c>
      <c r="Q9" s="205" t="s">
        <v>1205</v>
      </c>
      <c r="R9" s="205" t="s">
        <v>1769</v>
      </c>
      <c r="S9" s="205" t="s">
        <v>1180</v>
      </c>
      <c r="T9" s="205" t="s">
        <v>1769</v>
      </c>
      <c r="U9" s="205" t="s">
        <v>1769</v>
      </c>
      <c r="V9" s="205" t="s">
        <v>1769</v>
      </c>
      <c r="W9" s="205" t="s">
        <v>1769</v>
      </c>
      <c r="X9" s="205" t="s">
        <v>1769</v>
      </c>
      <c r="Y9" s="212" t="s">
        <v>1769</v>
      </c>
      <c r="Z9" s="205" t="s">
        <v>254</v>
      </c>
      <c r="AA9" s="205" t="s">
        <v>1769</v>
      </c>
      <c r="AB9" s="205" t="s">
        <v>254</v>
      </c>
      <c r="AC9" s="205" t="s">
        <v>457</v>
      </c>
      <c r="AD9" s="209" t="s">
        <v>323</v>
      </c>
      <c r="AE9" s="246">
        <v>456400</v>
      </c>
      <c r="AF9" s="246">
        <v>585100</v>
      </c>
      <c r="AG9" s="246" t="s">
        <v>1769</v>
      </c>
      <c r="AH9" s="246" t="s">
        <v>1769</v>
      </c>
      <c r="AI9" s="246" t="s">
        <v>1769</v>
      </c>
      <c r="AJ9" s="246" t="s">
        <v>1769</v>
      </c>
    </row>
    <row r="10" spans="1:36"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08">
        <v>38772</v>
      </c>
      <c r="P10" s="209" t="s">
        <v>1224</v>
      </c>
      <c r="Q10" s="205" t="s">
        <v>1205</v>
      </c>
      <c r="R10" s="205" t="s">
        <v>1769</v>
      </c>
      <c r="S10" s="205" t="s">
        <v>1180</v>
      </c>
      <c r="T10" s="205" t="s">
        <v>1254</v>
      </c>
      <c r="U10" s="206" t="s">
        <v>1769</v>
      </c>
      <c r="V10" s="206" t="s">
        <v>1769</v>
      </c>
      <c r="W10" s="205" t="s">
        <v>1769</v>
      </c>
      <c r="X10" s="205" t="s">
        <v>1769</v>
      </c>
      <c r="Y10" s="208"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row>
    <row r="11" spans="1:36">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08">
        <v>37695</v>
      </c>
      <c r="P11" s="209" t="s">
        <v>1224</v>
      </c>
      <c r="Q11" s="205" t="s">
        <v>1205</v>
      </c>
      <c r="R11" s="211" t="s">
        <v>1769</v>
      </c>
      <c r="S11" s="205" t="s">
        <v>1180</v>
      </c>
      <c r="T11" s="205" t="s">
        <v>1254</v>
      </c>
      <c r="U11" s="206" t="s">
        <v>1769</v>
      </c>
      <c r="V11" s="206" t="s">
        <v>1769</v>
      </c>
      <c r="W11" s="205" t="s">
        <v>1769</v>
      </c>
      <c r="X11" s="205" t="s">
        <v>1769</v>
      </c>
      <c r="Y11" s="208"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row>
    <row r="12" spans="1:36">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12">
        <v>122472</v>
      </c>
      <c r="P12" s="205" t="s">
        <v>1224</v>
      </c>
      <c r="Q12" s="205" t="s">
        <v>1205</v>
      </c>
      <c r="R12" s="205" t="s">
        <v>1769</v>
      </c>
      <c r="S12" s="205" t="s">
        <v>1180</v>
      </c>
      <c r="T12" s="205" t="s">
        <v>1769</v>
      </c>
      <c r="U12" s="205" t="s">
        <v>1769</v>
      </c>
      <c r="V12" s="205" t="s">
        <v>1769</v>
      </c>
      <c r="W12" s="205" t="s">
        <v>1769</v>
      </c>
      <c r="X12" s="205" t="s">
        <v>1769</v>
      </c>
      <c r="Y12" s="212"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row>
    <row r="13" spans="1:36">
      <c r="A13" s="206">
        <v>3351</v>
      </c>
      <c r="B13" s="206" t="s">
        <v>1169</v>
      </c>
      <c r="C13" s="253" t="s">
        <v>1762</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20" t="s">
        <v>1769</v>
      </c>
      <c r="P13" s="206" t="s">
        <v>400</v>
      </c>
      <c r="Q13" s="205" t="s">
        <v>1769</v>
      </c>
      <c r="R13" s="205" t="s">
        <v>1769</v>
      </c>
      <c r="S13" s="205" t="s">
        <v>1183</v>
      </c>
      <c r="T13" s="206" t="s">
        <v>1769</v>
      </c>
      <c r="U13" s="205" t="s">
        <v>1769</v>
      </c>
      <c r="V13" s="205" t="s">
        <v>1769</v>
      </c>
      <c r="W13" s="205" t="s">
        <v>1769</v>
      </c>
      <c r="X13" s="205" t="s">
        <v>1769</v>
      </c>
      <c r="Y13" s="221"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row>
    <row r="14" spans="1:36">
      <c r="A14" s="206">
        <v>1855</v>
      </c>
      <c r="B14" s="206" t="s">
        <v>1161</v>
      </c>
      <c r="C14" s="253" t="s">
        <v>1762</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20" t="s">
        <v>1769</v>
      </c>
      <c r="P14" s="206" t="s">
        <v>402</v>
      </c>
      <c r="Q14" s="205" t="s">
        <v>1769</v>
      </c>
      <c r="R14" s="205" t="s">
        <v>1769</v>
      </c>
      <c r="S14" s="205" t="s">
        <v>1183</v>
      </c>
      <c r="T14" s="206" t="s">
        <v>1769</v>
      </c>
      <c r="U14" s="205" t="s">
        <v>1769</v>
      </c>
      <c r="V14" s="205" t="s">
        <v>1769</v>
      </c>
      <c r="W14" s="205" t="s">
        <v>1769</v>
      </c>
      <c r="X14" s="205" t="s">
        <v>1769</v>
      </c>
      <c r="Y14" s="221"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row>
    <row r="15" spans="1:36">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08" t="s">
        <v>1769</v>
      </c>
      <c r="P15" s="209" t="s">
        <v>1224</v>
      </c>
      <c r="Q15" s="205" t="s">
        <v>1205</v>
      </c>
      <c r="R15" s="211" t="s">
        <v>1769</v>
      </c>
      <c r="S15" s="205" t="s">
        <v>1177</v>
      </c>
      <c r="T15" s="210" t="s">
        <v>1267</v>
      </c>
      <c r="U15" s="206" t="s">
        <v>1769</v>
      </c>
      <c r="V15" s="206" t="s">
        <v>1769</v>
      </c>
      <c r="W15" s="205" t="s">
        <v>1769</v>
      </c>
      <c r="X15" s="205" t="s">
        <v>1769</v>
      </c>
      <c r="Y15" s="208"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row>
    <row r="16" spans="1:36">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08" t="s">
        <v>1769</v>
      </c>
      <c r="P16" s="209" t="s">
        <v>1224</v>
      </c>
      <c r="Q16" s="205" t="s">
        <v>1275</v>
      </c>
      <c r="R16" s="211" t="s">
        <v>1769</v>
      </c>
      <c r="S16" s="205" t="s">
        <v>1177</v>
      </c>
      <c r="T16" s="210" t="s">
        <v>1272</v>
      </c>
      <c r="U16" s="206" t="s">
        <v>1769</v>
      </c>
      <c r="V16" s="206" t="s">
        <v>1769</v>
      </c>
      <c r="W16" s="205" t="s">
        <v>1769</v>
      </c>
      <c r="X16" s="205" t="s">
        <v>1769</v>
      </c>
      <c r="Y16" s="208"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row>
    <row r="17" spans="1:36">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08" t="s">
        <v>1769</v>
      </c>
      <c r="P17" s="209" t="s">
        <v>1224</v>
      </c>
      <c r="Q17" s="205" t="s">
        <v>1275</v>
      </c>
      <c r="R17" s="211" t="s">
        <v>1769</v>
      </c>
      <c r="S17" s="205" t="s">
        <v>1177</v>
      </c>
      <c r="T17" s="210" t="s">
        <v>1276</v>
      </c>
      <c r="U17" s="206" t="s">
        <v>1769</v>
      </c>
      <c r="V17" s="206" t="s">
        <v>1769</v>
      </c>
      <c r="W17" s="205" t="s">
        <v>1769</v>
      </c>
      <c r="X17" s="205" t="s">
        <v>1769</v>
      </c>
      <c r="Y17" s="208" t="s">
        <v>1769</v>
      </c>
      <c r="Z17" s="205" t="s">
        <v>254</v>
      </c>
      <c r="AA17" s="205" t="s">
        <v>1769</v>
      </c>
      <c r="AB17" s="205" t="s">
        <v>254</v>
      </c>
      <c r="AC17" s="205" t="s">
        <v>457</v>
      </c>
      <c r="AD17" s="205" t="s">
        <v>323</v>
      </c>
      <c r="AE17" s="246" t="s">
        <v>1769</v>
      </c>
      <c r="AF17" s="246">
        <v>292600</v>
      </c>
      <c r="AG17" s="246">
        <v>3000</v>
      </c>
      <c r="AH17" s="246" t="s">
        <v>1769</v>
      </c>
      <c r="AI17" s="246" t="s">
        <v>1769</v>
      </c>
      <c r="AJ17" s="246" t="s">
        <v>1769</v>
      </c>
    </row>
    <row r="18" spans="1:36" ht="22.5">
      <c r="A18" s="200">
        <v>2493</v>
      </c>
      <c r="B18" s="200" t="s">
        <v>1198</v>
      </c>
      <c r="C18" s="203" t="s">
        <v>1766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04" t="s">
        <v>1769</v>
      </c>
      <c r="P18" s="202" t="s">
        <v>1204</v>
      </c>
      <c r="Q18" s="200" t="s">
        <v>1205</v>
      </c>
      <c r="R18" s="203" t="s">
        <v>1769</v>
      </c>
      <c r="S18" s="200" t="s">
        <v>1187</v>
      </c>
      <c r="T18" s="200" t="s">
        <v>1199</v>
      </c>
      <c r="U18" s="200" t="s">
        <v>1769</v>
      </c>
      <c r="V18" s="200" t="s">
        <v>1769</v>
      </c>
      <c r="W18" s="200" t="s">
        <v>1769</v>
      </c>
      <c r="X18" s="200" t="s">
        <v>1769</v>
      </c>
      <c r="Y18" s="267"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row>
    <row r="19" spans="1:36" ht="22.5">
      <c r="A19" s="200">
        <v>2497</v>
      </c>
      <c r="B19" s="200" t="s">
        <v>1198</v>
      </c>
      <c r="C19" s="200" t="s">
        <v>1765</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04" t="s">
        <v>1769</v>
      </c>
      <c r="P19" s="202" t="s">
        <v>1204</v>
      </c>
      <c r="Q19" s="200" t="s">
        <v>1205</v>
      </c>
      <c r="R19" s="200" t="s">
        <v>697</v>
      </c>
      <c r="S19" s="200" t="s">
        <v>1187</v>
      </c>
      <c r="T19" s="200" t="s">
        <v>1207</v>
      </c>
      <c r="U19" s="200" t="s">
        <v>1769</v>
      </c>
      <c r="V19" s="200" t="s">
        <v>1769</v>
      </c>
      <c r="W19" s="200" t="s">
        <v>1769</v>
      </c>
      <c r="X19" s="200" t="s">
        <v>1769</v>
      </c>
      <c r="Y19" s="267"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row>
    <row r="20" spans="1:36">
      <c r="A20" s="206">
        <v>259</v>
      </c>
      <c r="B20" s="206" t="s">
        <v>511</v>
      </c>
      <c r="C20" s="253" t="s">
        <v>1762</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08" t="s">
        <v>1769</v>
      </c>
      <c r="P20" s="209" t="s">
        <v>403</v>
      </c>
      <c r="Q20" s="205" t="s">
        <v>401</v>
      </c>
      <c r="R20" s="211" t="s">
        <v>1769</v>
      </c>
      <c r="S20" s="205" t="s">
        <v>1780</v>
      </c>
      <c r="T20" s="205" t="s">
        <v>1463</v>
      </c>
      <c r="U20" s="206" t="s">
        <v>1769</v>
      </c>
      <c r="V20" s="206" t="s">
        <v>1769</v>
      </c>
      <c r="W20" s="205" t="s">
        <v>1769</v>
      </c>
      <c r="X20" s="205" t="s">
        <v>1769</v>
      </c>
      <c r="Y20" s="208"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row>
    <row r="21" spans="1:36">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08">
        <v>70560</v>
      </c>
      <c r="P21" s="209" t="s">
        <v>1224</v>
      </c>
      <c r="Q21" s="205" t="s">
        <v>1205</v>
      </c>
      <c r="R21" s="205" t="s">
        <v>1769</v>
      </c>
      <c r="S21" s="205" t="s">
        <v>1179</v>
      </c>
      <c r="T21" s="205" t="s">
        <v>1334</v>
      </c>
      <c r="U21" s="206" t="s">
        <v>1769</v>
      </c>
      <c r="V21" s="206" t="s">
        <v>1769</v>
      </c>
      <c r="W21" s="205" t="s">
        <v>1769</v>
      </c>
      <c r="X21" s="205" t="s">
        <v>1769</v>
      </c>
      <c r="Y21" s="208"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row>
    <row r="22" spans="1:36">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08" t="s">
        <v>1769</v>
      </c>
      <c r="P22" s="209" t="s">
        <v>1224</v>
      </c>
      <c r="Q22" s="205" t="s">
        <v>1205</v>
      </c>
      <c r="R22" s="211" t="s">
        <v>1769</v>
      </c>
      <c r="S22" s="205" t="s">
        <v>1179</v>
      </c>
      <c r="T22" s="205" t="s">
        <v>1226</v>
      </c>
      <c r="U22" s="206" t="s">
        <v>1769</v>
      </c>
      <c r="V22" s="206" t="s">
        <v>1769</v>
      </c>
      <c r="W22" s="205" t="s">
        <v>1769</v>
      </c>
      <c r="X22" s="205" t="s">
        <v>1828</v>
      </c>
      <c r="Y22" s="208"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row>
    <row r="23" spans="1:36"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08" t="s">
        <v>1769</v>
      </c>
      <c r="P23" s="209" t="s">
        <v>1224</v>
      </c>
      <c r="Q23" s="205" t="s">
        <v>1205</v>
      </c>
      <c r="R23" s="211" t="s">
        <v>405</v>
      </c>
      <c r="S23" s="205" t="s">
        <v>1179</v>
      </c>
      <c r="T23" s="210" t="s">
        <v>1312</v>
      </c>
      <c r="U23" s="206" t="s">
        <v>1769</v>
      </c>
      <c r="V23" s="206" t="s">
        <v>1769</v>
      </c>
      <c r="W23" s="205" t="s">
        <v>1769</v>
      </c>
      <c r="X23" s="205" t="s">
        <v>1769</v>
      </c>
      <c r="Y23" s="208"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row>
    <row r="24" spans="1:36"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08" t="s">
        <v>1769</v>
      </c>
      <c r="P24" s="209" t="s">
        <v>1224</v>
      </c>
      <c r="Q24" s="205" t="s">
        <v>1205</v>
      </c>
      <c r="R24" s="211" t="s">
        <v>405</v>
      </c>
      <c r="S24" s="205" t="s">
        <v>1179</v>
      </c>
      <c r="T24" s="210" t="s">
        <v>1312</v>
      </c>
      <c r="U24" s="206" t="s">
        <v>1769</v>
      </c>
      <c r="V24" s="206" t="s">
        <v>1769</v>
      </c>
      <c r="W24" s="205" t="s">
        <v>1769</v>
      </c>
      <c r="X24" s="205" t="s">
        <v>1769</v>
      </c>
      <c r="Y24" s="208"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row>
    <row r="25" spans="1:36">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12" t="s">
        <v>1769</v>
      </c>
      <c r="P25" s="205" t="s">
        <v>1224</v>
      </c>
      <c r="Q25" s="205" t="s">
        <v>1205</v>
      </c>
      <c r="R25" s="205" t="s">
        <v>1345</v>
      </c>
      <c r="S25" s="205" t="s">
        <v>1817</v>
      </c>
      <c r="T25" s="205" t="s">
        <v>1769</v>
      </c>
      <c r="U25" s="205" t="s">
        <v>1769</v>
      </c>
      <c r="V25" s="205" t="s">
        <v>1769</v>
      </c>
      <c r="W25" s="205" t="s">
        <v>1769</v>
      </c>
      <c r="X25" s="205" t="s">
        <v>1769</v>
      </c>
      <c r="Y25" s="212"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row>
    <row r="26" spans="1:36">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12" t="s">
        <v>1769</v>
      </c>
      <c r="P26" s="205" t="s">
        <v>1224</v>
      </c>
      <c r="Q26" s="205" t="s">
        <v>1205</v>
      </c>
      <c r="R26" s="205" t="s">
        <v>1350</v>
      </c>
      <c r="S26" s="205" t="s">
        <v>1818</v>
      </c>
      <c r="T26" s="205" t="s">
        <v>1769</v>
      </c>
      <c r="U26" s="205" t="s">
        <v>1769</v>
      </c>
      <c r="V26" s="205" t="s">
        <v>1769</v>
      </c>
      <c r="W26" s="205" t="s">
        <v>1769</v>
      </c>
      <c r="X26" s="205" t="s">
        <v>1769</v>
      </c>
      <c r="Y26" s="212"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row>
    <row r="27" spans="1:36">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12" t="s">
        <v>1769</v>
      </c>
      <c r="P27" s="205" t="s">
        <v>1224</v>
      </c>
      <c r="Q27" s="205" t="s">
        <v>1205</v>
      </c>
      <c r="R27" s="205" t="s">
        <v>1353</v>
      </c>
      <c r="S27" s="205" t="s">
        <v>1818</v>
      </c>
      <c r="T27" s="205" t="s">
        <v>1769</v>
      </c>
      <c r="U27" s="205" t="s">
        <v>1769</v>
      </c>
      <c r="V27" s="205" t="s">
        <v>1769</v>
      </c>
      <c r="W27" s="205" t="s">
        <v>1769</v>
      </c>
      <c r="X27" s="205" t="s">
        <v>1769</v>
      </c>
      <c r="Y27" s="212"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row>
    <row r="28" spans="1:36">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08">
        <v>234150</v>
      </c>
      <c r="P28" s="209" t="s">
        <v>1224</v>
      </c>
      <c r="Q28" s="205" t="s">
        <v>1205</v>
      </c>
      <c r="R28" s="211" t="s">
        <v>1769</v>
      </c>
      <c r="S28" s="205" t="s">
        <v>1179</v>
      </c>
      <c r="T28" s="205" t="s">
        <v>325</v>
      </c>
      <c r="U28" s="206" t="s">
        <v>1769</v>
      </c>
      <c r="V28" s="206" t="s">
        <v>1769</v>
      </c>
      <c r="W28" s="205" t="s">
        <v>1769</v>
      </c>
      <c r="X28" s="205" t="s">
        <v>1769</v>
      </c>
      <c r="Y28" s="208"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row>
    <row r="29" spans="1:36"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08">
        <v>227850</v>
      </c>
      <c r="P29" s="209" t="s">
        <v>1224</v>
      </c>
      <c r="Q29" s="205" t="s">
        <v>1205</v>
      </c>
      <c r="R29" s="211" t="s">
        <v>405</v>
      </c>
      <c r="S29" s="205" t="s">
        <v>1179</v>
      </c>
      <c r="T29" s="205" t="s">
        <v>1226</v>
      </c>
      <c r="U29" s="206" t="s">
        <v>1769</v>
      </c>
      <c r="V29" s="206" t="s">
        <v>1769</v>
      </c>
      <c r="W29" s="205" t="s">
        <v>1769</v>
      </c>
      <c r="X29" s="205" t="s">
        <v>1769</v>
      </c>
      <c r="Y29" s="208"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row>
    <row r="30" spans="1:36">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12">
        <v>197925</v>
      </c>
      <c r="P30" s="205" t="s">
        <v>1224</v>
      </c>
      <c r="Q30" s="205" t="s">
        <v>1205</v>
      </c>
      <c r="R30" s="205" t="s">
        <v>1472</v>
      </c>
      <c r="S30" s="205" t="s">
        <v>1182</v>
      </c>
      <c r="T30" s="205" t="s">
        <v>1769</v>
      </c>
      <c r="U30" s="205" t="s">
        <v>1769</v>
      </c>
      <c r="V30" s="205" t="s">
        <v>1769</v>
      </c>
      <c r="W30" s="205" t="s">
        <v>1769</v>
      </c>
      <c r="X30" s="205" t="s">
        <v>1769</v>
      </c>
      <c r="Y30" s="212" t="s">
        <v>1769</v>
      </c>
      <c r="Z30" s="205" t="s">
        <v>1735</v>
      </c>
      <c r="AA30" s="205" t="s">
        <v>1769</v>
      </c>
      <c r="AB30" s="205" t="s">
        <v>254</v>
      </c>
      <c r="AC30" s="205" t="s">
        <v>294</v>
      </c>
      <c r="AD30" s="205" t="s">
        <v>1495</v>
      </c>
      <c r="AE30" s="246" t="s">
        <v>1769</v>
      </c>
      <c r="AF30" s="246">
        <v>567200</v>
      </c>
      <c r="AG30" s="246">
        <v>608800</v>
      </c>
      <c r="AH30" s="246" t="s">
        <v>1769</v>
      </c>
      <c r="AI30" s="246" t="s">
        <v>1769</v>
      </c>
      <c r="AJ30" s="246" t="s">
        <v>1769</v>
      </c>
    </row>
    <row r="31" spans="1:36">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12">
        <v>196980</v>
      </c>
      <c r="P31" s="205" t="s">
        <v>1224</v>
      </c>
      <c r="Q31" s="205" t="s">
        <v>1205</v>
      </c>
      <c r="R31" s="205" t="s">
        <v>1477</v>
      </c>
      <c r="S31" s="205" t="s">
        <v>1182</v>
      </c>
      <c r="T31" s="205" t="s">
        <v>1769</v>
      </c>
      <c r="U31" s="205" t="s">
        <v>1769</v>
      </c>
      <c r="V31" s="205" t="s">
        <v>1769</v>
      </c>
      <c r="W31" s="205" t="s">
        <v>1769</v>
      </c>
      <c r="X31" s="205" t="s">
        <v>1769</v>
      </c>
      <c r="Y31" s="212" t="s">
        <v>1769</v>
      </c>
      <c r="Z31" s="205" t="s">
        <v>1735</v>
      </c>
      <c r="AA31" s="205" t="s">
        <v>1769</v>
      </c>
      <c r="AB31" s="205" t="s">
        <v>254</v>
      </c>
      <c r="AC31" s="205" t="s">
        <v>294</v>
      </c>
      <c r="AD31" s="205" t="s">
        <v>1495</v>
      </c>
      <c r="AE31" s="246" t="s">
        <v>1769</v>
      </c>
      <c r="AF31" s="246" t="s">
        <v>1769</v>
      </c>
      <c r="AG31" s="246">
        <v>45700</v>
      </c>
      <c r="AH31" s="246" t="s">
        <v>1769</v>
      </c>
      <c r="AI31" s="246" t="s">
        <v>1769</v>
      </c>
      <c r="AJ31" s="246" t="s">
        <v>1769</v>
      </c>
    </row>
    <row r="32" spans="1:36">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12">
        <v>207375</v>
      </c>
      <c r="P32" s="205" t="s">
        <v>1224</v>
      </c>
      <c r="Q32" s="205" t="s">
        <v>1205</v>
      </c>
      <c r="R32" s="205" t="s">
        <v>1479</v>
      </c>
      <c r="S32" s="205" t="s">
        <v>1182</v>
      </c>
      <c r="T32" s="205" t="s">
        <v>1769</v>
      </c>
      <c r="U32" s="205" t="s">
        <v>1769</v>
      </c>
      <c r="V32" s="205" t="s">
        <v>1769</v>
      </c>
      <c r="W32" s="205" t="s">
        <v>1769</v>
      </c>
      <c r="X32" s="205" t="s">
        <v>1769</v>
      </c>
      <c r="Y32" s="212" t="s">
        <v>1769</v>
      </c>
      <c r="Z32" s="205" t="s">
        <v>1735</v>
      </c>
      <c r="AA32" s="205" t="s">
        <v>1769</v>
      </c>
      <c r="AB32" s="205" t="s">
        <v>254</v>
      </c>
      <c r="AC32" s="205" t="s">
        <v>294</v>
      </c>
      <c r="AD32" s="205" t="s">
        <v>1495</v>
      </c>
      <c r="AE32" s="246" t="s">
        <v>1769</v>
      </c>
      <c r="AF32" s="246" t="s">
        <v>1769</v>
      </c>
      <c r="AG32" s="246">
        <v>42700</v>
      </c>
      <c r="AH32" s="246" t="s">
        <v>1769</v>
      </c>
      <c r="AI32" s="246" t="s">
        <v>1769</v>
      </c>
      <c r="AJ32" s="246" t="s">
        <v>1769</v>
      </c>
    </row>
    <row r="33" spans="1:36">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12">
        <v>207375</v>
      </c>
      <c r="P33" s="205" t="s">
        <v>1224</v>
      </c>
      <c r="Q33" s="205" t="s">
        <v>1205</v>
      </c>
      <c r="R33" s="205" t="s">
        <v>1480</v>
      </c>
      <c r="S33" s="205" t="s">
        <v>1182</v>
      </c>
      <c r="T33" s="205" t="s">
        <v>1769</v>
      </c>
      <c r="U33" s="205" t="s">
        <v>1769</v>
      </c>
      <c r="V33" s="205" t="s">
        <v>1769</v>
      </c>
      <c r="W33" s="205" t="s">
        <v>1769</v>
      </c>
      <c r="X33" s="205" t="s">
        <v>1769</v>
      </c>
      <c r="Y33" s="212" t="s">
        <v>1769</v>
      </c>
      <c r="Z33" s="205" t="s">
        <v>1735</v>
      </c>
      <c r="AA33" s="205" t="s">
        <v>1769</v>
      </c>
      <c r="AB33" s="205" t="s">
        <v>254</v>
      </c>
      <c r="AC33" s="205" t="s">
        <v>294</v>
      </c>
      <c r="AD33" s="205" t="s">
        <v>1495</v>
      </c>
      <c r="AE33" s="246" t="s">
        <v>1769</v>
      </c>
      <c r="AF33" s="246" t="s">
        <v>1769</v>
      </c>
      <c r="AG33" s="246">
        <v>45600</v>
      </c>
      <c r="AH33" s="246" t="s">
        <v>1769</v>
      </c>
      <c r="AI33" s="246" t="s">
        <v>1769</v>
      </c>
      <c r="AJ33" s="246" t="s">
        <v>1769</v>
      </c>
    </row>
    <row r="34" spans="1:36">
      <c r="A34" s="205">
        <v>7238</v>
      </c>
      <c r="B34" s="205" t="s">
        <v>1468</v>
      </c>
      <c r="C34" s="253" t="s">
        <v>1206</v>
      </c>
      <c r="D34" s="206" t="str">
        <f t="shared" ref="D34:D65" si="1">CONCATENATE(B34,A34)</f>
        <v>宮城100は7238</v>
      </c>
      <c r="E34" s="205" t="s">
        <v>1478</v>
      </c>
      <c r="F34" s="205" t="s">
        <v>1475</v>
      </c>
      <c r="G34" s="205" t="s">
        <v>1234</v>
      </c>
      <c r="H34" s="206" t="s">
        <v>934</v>
      </c>
      <c r="I34" s="205" t="s">
        <v>1348</v>
      </c>
      <c r="J34" s="205" t="s">
        <v>1453</v>
      </c>
      <c r="K34" s="205" t="s">
        <v>1769</v>
      </c>
      <c r="L34" s="205" t="s">
        <v>287</v>
      </c>
      <c r="M34" s="205" t="s">
        <v>1781</v>
      </c>
      <c r="N34" s="182">
        <v>43397</v>
      </c>
      <c r="O34" s="212">
        <v>207375</v>
      </c>
      <c r="P34" s="205" t="s">
        <v>1224</v>
      </c>
      <c r="Q34" s="205" t="s">
        <v>1205</v>
      </c>
      <c r="R34" s="205" t="s">
        <v>1481</v>
      </c>
      <c r="S34" s="205" t="s">
        <v>1182</v>
      </c>
      <c r="T34" s="205" t="s">
        <v>1769</v>
      </c>
      <c r="U34" s="205" t="s">
        <v>1769</v>
      </c>
      <c r="V34" s="205" t="s">
        <v>1769</v>
      </c>
      <c r="W34" s="205" t="s">
        <v>1769</v>
      </c>
      <c r="X34" s="205" t="s">
        <v>1769</v>
      </c>
      <c r="Y34" s="212" t="s">
        <v>1769</v>
      </c>
      <c r="Z34" s="205" t="s">
        <v>1735</v>
      </c>
      <c r="AA34" s="205" t="s">
        <v>1769</v>
      </c>
      <c r="AB34" s="205" t="s">
        <v>254</v>
      </c>
      <c r="AC34" s="205" t="s">
        <v>294</v>
      </c>
      <c r="AD34" s="205" t="s">
        <v>1495</v>
      </c>
      <c r="AE34" s="246" t="s">
        <v>1769</v>
      </c>
      <c r="AF34" s="246" t="s">
        <v>1769</v>
      </c>
      <c r="AG34" s="246">
        <v>49400</v>
      </c>
      <c r="AH34" s="246" t="s">
        <v>1769</v>
      </c>
      <c r="AI34" s="246" t="s">
        <v>1769</v>
      </c>
      <c r="AJ34" s="246" t="s">
        <v>1769</v>
      </c>
    </row>
    <row r="35" spans="1:36">
      <c r="A35" s="205">
        <v>7299</v>
      </c>
      <c r="B35" s="205" t="s">
        <v>1468</v>
      </c>
      <c r="C35" s="253" t="s">
        <v>1206</v>
      </c>
      <c r="D35" s="206" t="str">
        <f t="shared" si="1"/>
        <v>宮城100は7299</v>
      </c>
      <c r="E35" s="205" t="s">
        <v>1482</v>
      </c>
      <c r="F35" s="205" t="s">
        <v>1475</v>
      </c>
      <c r="G35" s="205" t="s">
        <v>1234</v>
      </c>
      <c r="H35" s="206" t="s">
        <v>942</v>
      </c>
      <c r="I35" s="205" t="s">
        <v>1452</v>
      </c>
      <c r="J35" s="205" t="s">
        <v>1453</v>
      </c>
      <c r="K35" s="205" t="s">
        <v>1769</v>
      </c>
      <c r="L35" s="205" t="s">
        <v>287</v>
      </c>
      <c r="M35" s="205" t="s">
        <v>1781</v>
      </c>
      <c r="N35" s="182">
        <v>43423</v>
      </c>
      <c r="O35" s="212">
        <v>207375</v>
      </c>
      <c r="P35" s="205" t="s">
        <v>1224</v>
      </c>
      <c r="Q35" s="205" t="s">
        <v>1205</v>
      </c>
      <c r="R35" s="205" t="s">
        <v>1483</v>
      </c>
      <c r="S35" s="205" t="s">
        <v>1182</v>
      </c>
      <c r="T35" s="205" t="s">
        <v>1769</v>
      </c>
      <c r="U35" s="205" t="s">
        <v>1769</v>
      </c>
      <c r="V35" s="205" t="s">
        <v>1769</v>
      </c>
      <c r="W35" s="205" t="s">
        <v>1769</v>
      </c>
      <c r="X35" s="205" t="s">
        <v>1769</v>
      </c>
      <c r="Y35" s="212" t="s">
        <v>1769</v>
      </c>
      <c r="Z35" s="205" t="s">
        <v>1735</v>
      </c>
      <c r="AA35" s="205" t="s">
        <v>1769</v>
      </c>
      <c r="AB35" s="205" t="s">
        <v>254</v>
      </c>
      <c r="AC35" s="205" t="s">
        <v>294</v>
      </c>
      <c r="AD35" s="205" t="s">
        <v>1495</v>
      </c>
      <c r="AE35" s="246" t="s">
        <v>1769</v>
      </c>
      <c r="AF35" s="246" t="s">
        <v>1769</v>
      </c>
      <c r="AG35" s="246" t="s">
        <v>1769</v>
      </c>
      <c r="AH35" s="246" t="s">
        <v>1769</v>
      </c>
      <c r="AI35" s="246" t="s">
        <v>1769</v>
      </c>
      <c r="AJ35" s="246" t="s">
        <v>1769</v>
      </c>
    </row>
    <row r="36" spans="1:36">
      <c r="A36" s="205">
        <v>7300</v>
      </c>
      <c r="B36" s="205" t="s">
        <v>1468</v>
      </c>
      <c r="C36" s="253" t="s">
        <v>1206</v>
      </c>
      <c r="D36" s="206" t="str">
        <f t="shared" si="1"/>
        <v>宮城100は7300</v>
      </c>
      <c r="E36" s="205" t="s">
        <v>1482</v>
      </c>
      <c r="F36" s="205" t="s">
        <v>1475</v>
      </c>
      <c r="G36" s="205" t="s">
        <v>1234</v>
      </c>
      <c r="H36" s="206" t="s">
        <v>947</v>
      </c>
      <c r="I36" s="205" t="s">
        <v>1452</v>
      </c>
      <c r="J36" s="205" t="s">
        <v>1453</v>
      </c>
      <c r="K36" s="205" t="s">
        <v>1769</v>
      </c>
      <c r="L36" s="205" t="s">
        <v>287</v>
      </c>
      <c r="M36" s="205" t="s">
        <v>1781</v>
      </c>
      <c r="N36" s="182">
        <v>43423</v>
      </c>
      <c r="O36" s="212">
        <v>207375</v>
      </c>
      <c r="P36" s="205" t="s">
        <v>1224</v>
      </c>
      <c r="Q36" s="205" t="s">
        <v>1205</v>
      </c>
      <c r="R36" s="205" t="s">
        <v>1484</v>
      </c>
      <c r="S36" s="205" t="s">
        <v>1182</v>
      </c>
      <c r="T36" s="205" t="s">
        <v>1769</v>
      </c>
      <c r="U36" s="205" t="s">
        <v>1769</v>
      </c>
      <c r="V36" s="205" t="s">
        <v>1769</v>
      </c>
      <c r="W36" s="205" t="s">
        <v>1769</v>
      </c>
      <c r="X36" s="205" t="s">
        <v>1769</v>
      </c>
      <c r="Y36" s="212" t="s">
        <v>1769</v>
      </c>
      <c r="Z36" s="205" t="s">
        <v>1735</v>
      </c>
      <c r="AA36" s="205" t="s">
        <v>1769</v>
      </c>
      <c r="AB36" s="205" t="s">
        <v>254</v>
      </c>
      <c r="AC36" s="205" t="s">
        <v>294</v>
      </c>
      <c r="AD36" s="205" t="s">
        <v>1495</v>
      </c>
      <c r="AE36" s="246" t="s">
        <v>1769</v>
      </c>
      <c r="AF36" s="246" t="s">
        <v>1769</v>
      </c>
      <c r="AG36" s="246" t="s">
        <v>1769</v>
      </c>
      <c r="AH36" s="246" t="s">
        <v>1769</v>
      </c>
      <c r="AI36" s="246" t="s">
        <v>1769</v>
      </c>
      <c r="AJ36" s="246" t="s">
        <v>1769</v>
      </c>
    </row>
    <row r="37" spans="1:36">
      <c r="A37" s="205">
        <v>7301</v>
      </c>
      <c r="B37" s="205" t="s">
        <v>1468</v>
      </c>
      <c r="C37" s="253" t="s">
        <v>1206</v>
      </c>
      <c r="D37" s="206" t="str">
        <f t="shared" si="1"/>
        <v>宮城100は7301</v>
      </c>
      <c r="E37" s="205" t="s">
        <v>1482</v>
      </c>
      <c r="F37" s="205" t="s">
        <v>1475</v>
      </c>
      <c r="G37" s="205" t="s">
        <v>1234</v>
      </c>
      <c r="H37" s="206" t="s">
        <v>950</v>
      </c>
      <c r="I37" s="205" t="s">
        <v>1452</v>
      </c>
      <c r="J37" s="205" t="s">
        <v>1453</v>
      </c>
      <c r="K37" s="205" t="s">
        <v>1769</v>
      </c>
      <c r="L37" s="205" t="s">
        <v>287</v>
      </c>
      <c r="M37" s="205" t="s">
        <v>1781</v>
      </c>
      <c r="N37" s="182">
        <v>43423</v>
      </c>
      <c r="O37" s="212">
        <v>207375</v>
      </c>
      <c r="P37" s="205" t="s">
        <v>1224</v>
      </c>
      <c r="Q37" s="205" t="s">
        <v>1205</v>
      </c>
      <c r="R37" s="205" t="s">
        <v>1485</v>
      </c>
      <c r="S37" s="205" t="s">
        <v>1182</v>
      </c>
      <c r="T37" s="205" t="s">
        <v>1769</v>
      </c>
      <c r="U37" s="205" t="s">
        <v>1769</v>
      </c>
      <c r="V37" s="205" t="s">
        <v>1769</v>
      </c>
      <c r="W37" s="205" t="s">
        <v>1769</v>
      </c>
      <c r="X37" s="205" t="s">
        <v>1769</v>
      </c>
      <c r="Y37" s="212" t="s">
        <v>1769</v>
      </c>
      <c r="Z37" s="205" t="s">
        <v>1735</v>
      </c>
      <c r="AA37" s="205" t="s">
        <v>1769</v>
      </c>
      <c r="AB37" s="205" t="s">
        <v>254</v>
      </c>
      <c r="AC37" s="205" t="s">
        <v>294</v>
      </c>
      <c r="AD37" s="205" t="s">
        <v>1495</v>
      </c>
      <c r="AE37" s="246" t="s">
        <v>1769</v>
      </c>
      <c r="AF37" s="246" t="s">
        <v>1769</v>
      </c>
      <c r="AG37" s="246" t="s">
        <v>1769</v>
      </c>
      <c r="AH37" s="246" t="s">
        <v>1769</v>
      </c>
      <c r="AI37" s="246" t="s">
        <v>1769</v>
      </c>
      <c r="AJ37" s="246" t="s">
        <v>1769</v>
      </c>
    </row>
    <row r="38" spans="1:36">
      <c r="A38" s="205">
        <v>7302</v>
      </c>
      <c r="B38" s="205" t="s">
        <v>1468</v>
      </c>
      <c r="C38" s="253" t="s">
        <v>1206</v>
      </c>
      <c r="D38" s="206" t="str">
        <f t="shared" si="1"/>
        <v>宮城100は7302</v>
      </c>
      <c r="E38" s="205" t="s">
        <v>1482</v>
      </c>
      <c r="F38" s="205" t="s">
        <v>1475</v>
      </c>
      <c r="G38" s="205" t="s">
        <v>1234</v>
      </c>
      <c r="H38" s="206" t="s">
        <v>953</v>
      </c>
      <c r="I38" s="205" t="s">
        <v>1348</v>
      </c>
      <c r="J38" s="205" t="s">
        <v>1453</v>
      </c>
      <c r="K38" s="205" t="s">
        <v>1769</v>
      </c>
      <c r="L38" s="205" t="s">
        <v>287</v>
      </c>
      <c r="M38" s="205" t="s">
        <v>1781</v>
      </c>
      <c r="N38" s="182">
        <v>43423</v>
      </c>
      <c r="O38" s="212">
        <v>207375</v>
      </c>
      <c r="P38" s="205" t="s">
        <v>1224</v>
      </c>
      <c r="Q38" s="205" t="s">
        <v>1205</v>
      </c>
      <c r="R38" s="205" t="s">
        <v>1486</v>
      </c>
      <c r="S38" s="205" t="s">
        <v>1182</v>
      </c>
      <c r="T38" s="205" t="s">
        <v>1769</v>
      </c>
      <c r="U38" s="205" t="s">
        <v>1769</v>
      </c>
      <c r="V38" s="205" t="s">
        <v>1769</v>
      </c>
      <c r="W38" s="205" t="s">
        <v>1769</v>
      </c>
      <c r="X38" s="205" t="s">
        <v>1769</v>
      </c>
      <c r="Y38" s="212" t="s">
        <v>1769</v>
      </c>
      <c r="Z38" s="205" t="s">
        <v>1735</v>
      </c>
      <c r="AA38" s="205" t="s">
        <v>1769</v>
      </c>
      <c r="AB38" s="205" t="s">
        <v>254</v>
      </c>
      <c r="AC38" s="205" t="s">
        <v>294</v>
      </c>
      <c r="AD38" s="205" t="s">
        <v>1495</v>
      </c>
      <c r="AE38" s="246" t="s">
        <v>1769</v>
      </c>
      <c r="AF38" s="246" t="s">
        <v>1769</v>
      </c>
      <c r="AG38" s="246" t="s">
        <v>1769</v>
      </c>
      <c r="AH38" s="246" t="s">
        <v>1769</v>
      </c>
      <c r="AI38" s="246" t="s">
        <v>1769</v>
      </c>
      <c r="AJ38" s="246" t="s">
        <v>1769</v>
      </c>
    </row>
    <row r="39" spans="1:36">
      <c r="A39" s="205">
        <v>7346</v>
      </c>
      <c r="B39" s="205" t="s">
        <v>1468</v>
      </c>
      <c r="C39" s="253" t="s">
        <v>1206</v>
      </c>
      <c r="D39" s="206" t="str">
        <f t="shared" si="1"/>
        <v>宮城100は7346</v>
      </c>
      <c r="E39" s="205" t="s">
        <v>1487</v>
      </c>
      <c r="F39" s="205" t="s">
        <v>1475</v>
      </c>
      <c r="G39" s="205" t="s">
        <v>1234</v>
      </c>
      <c r="H39" s="206" t="s">
        <v>961</v>
      </c>
      <c r="I39" s="205" t="s">
        <v>1452</v>
      </c>
      <c r="J39" s="205" t="s">
        <v>1453</v>
      </c>
      <c r="K39" s="205" t="s">
        <v>1769</v>
      </c>
      <c r="L39" s="205" t="s">
        <v>287</v>
      </c>
      <c r="M39" s="205" t="s">
        <v>1781</v>
      </c>
      <c r="N39" s="182">
        <v>43437</v>
      </c>
      <c r="O39" s="212">
        <v>207375</v>
      </c>
      <c r="P39" s="205" t="s">
        <v>1224</v>
      </c>
      <c r="Q39" s="205" t="s">
        <v>1205</v>
      </c>
      <c r="R39" s="205" t="s">
        <v>1488</v>
      </c>
      <c r="S39" s="205" t="s">
        <v>1182</v>
      </c>
      <c r="T39" s="205" t="s">
        <v>1769</v>
      </c>
      <c r="U39" s="205" t="s">
        <v>1769</v>
      </c>
      <c r="V39" s="205" t="s">
        <v>1769</v>
      </c>
      <c r="W39" s="205" t="s">
        <v>1769</v>
      </c>
      <c r="X39" s="205" t="s">
        <v>1769</v>
      </c>
      <c r="Y39" s="212" t="s">
        <v>1769</v>
      </c>
      <c r="Z39" s="205" t="s">
        <v>1735</v>
      </c>
      <c r="AA39" s="205" t="s">
        <v>1769</v>
      </c>
      <c r="AB39" s="205" t="s">
        <v>254</v>
      </c>
      <c r="AC39" s="205" t="s">
        <v>294</v>
      </c>
      <c r="AD39" s="205" t="s">
        <v>1495</v>
      </c>
      <c r="AE39" s="246" t="s">
        <v>1769</v>
      </c>
      <c r="AF39" s="246" t="s">
        <v>1769</v>
      </c>
      <c r="AG39" s="246" t="s">
        <v>1769</v>
      </c>
      <c r="AH39" s="246" t="s">
        <v>1769</v>
      </c>
      <c r="AI39" s="246" t="s">
        <v>1769</v>
      </c>
      <c r="AJ39" s="246" t="s">
        <v>1769</v>
      </c>
    </row>
    <row r="40" spans="1:36">
      <c r="A40" s="206">
        <v>299</v>
      </c>
      <c r="B40" s="206" t="s">
        <v>1362</v>
      </c>
      <c r="C40" s="253" t="s">
        <v>1367</v>
      </c>
      <c r="D40" s="206" t="str">
        <f t="shared" si="1"/>
        <v>宮城130あ299</v>
      </c>
      <c r="E40" s="205" t="s">
        <v>1364</v>
      </c>
      <c r="F40" s="205" t="s">
        <v>806</v>
      </c>
      <c r="G40" s="206" t="s">
        <v>1363</v>
      </c>
      <c r="H40" s="206" t="s">
        <v>333</v>
      </c>
      <c r="I40" s="206" t="s">
        <v>1365</v>
      </c>
      <c r="J40" s="206" t="s">
        <v>1366</v>
      </c>
      <c r="K40" s="206" t="s">
        <v>352</v>
      </c>
      <c r="L40" s="265" t="s">
        <v>162</v>
      </c>
      <c r="M40" s="206" t="s">
        <v>1769</v>
      </c>
      <c r="N40" s="206" t="s">
        <v>1769</v>
      </c>
      <c r="O40" s="208" t="s">
        <v>1769</v>
      </c>
      <c r="P40" s="209" t="s">
        <v>1224</v>
      </c>
      <c r="Q40" s="205" t="s">
        <v>1769</v>
      </c>
      <c r="R40" s="211" t="s">
        <v>809</v>
      </c>
      <c r="S40" s="205" t="s">
        <v>1179</v>
      </c>
      <c r="T40" s="210" t="s">
        <v>1769</v>
      </c>
      <c r="U40" s="206" t="s">
        <v>1769</v>
      </c>
      <c r="V40" s="206" t="s">
        <v>1769</v>
      </c>
      <c r="W40" s="205" t="s">
        <v>1769</v>
      </c>
      <c r="X40" s="205" t="s">
        <v>1769</v>
      </c>
      <c r="Y40" s="208"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row>
    <row r="41" spans="1:36" ht="22.5">
      <c r="A41" s="205">
        <v>507</v>
      </c>
      <c r="B41" s="205" t="s">
        <v>1362</v>
      </c>
      <c r="C41" s="253" t="s">
        <v>1206</v>
      </c>
      <c r="D41" s="206" t="str">
        <f t="shared" si="1"/>
        <v>宮城130あ507</v>
      </c>
      <c r="E41" s="205" t="s">
        <v>1368</v>
      </c>
      <c r="F41" s="205" t="s">
        <v>1357</v>
      </c>
      <c r="G41" s="205" t="s">
        <v>1234</v>
      </c>
      <c r="H41" s="209" t="s">
        <v>784</v>
      </c>
      <c r="I41" s="207" t="s">
        <v>1369</v>
      </c>
      <c r="J41" s="207" t="s">
        <v>1370</v>
      </c>
      <c r="K41" s="205" t="s">
        <v>1769</v>
      </c>
      <c r="L41" s="206" t="s">
        <v>162</v>
      </c>
      <c r="M41" s="205" t="s">
        <v>1769</v>
      </c>
      <c r="N41" s="205" t="s">
        <v>1769</v>
      </c>
      <c r="O41" s="212" t="s">
        <v>1769</v>
      </c>
      <c r="P41" s="205" t="s">
        <v>1224</v>
      </c>
      <c r="Q41" s="205" t="s">
        <v>1205</v>
      </c>
      <c r="R41" s="213">
        <v>5098</v>
      </c>
      <c r="S41" s="205" t="s">
        <v>1179</v>
      </c>
      <c r="T41" s="205" t="s">
        <v>1769</v>
      </c>
      <c r="U41" s="205" t="s">
        <v>1769</v>
      </c>
      <c r="V41" s="205" t="s">
        <v>1769</v>
      </c>
      <c r="W41" s="205" t="s">
        <v>1769</v>
      </c>
      <c r="X41" s="205" t="s">
        <v>1769</v>
      </c>
      <c r="Y41" s="212"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row>
    <row r="42" spans="1:36" ht="22.5">
      <c r="A42" s="206">
        <v>29</v>
      </c>
      <c r="B42" s="206" t="s">
        <v>1371</v>
      </c>
      <c r="C42" s="253" t="s">
        <v>1376</v>
      </c>
      <c r="D42" s="206" t="str">
        <f t="shared" si="1"/>
        <v>宮城130き29</v>
      </c>
      <c r="E42" s="205" t="s">
        <v>1372</v>
      </c>
      <c r="F42" s="206" t="s">
        <v>619</v>
      </c>
      <c r="G42" s="206" t="s">
        <v>1234</v>
      </c>
      <c r="H42" s="206" t="s">
        <v>811</v>
      </c>
      <c r="I42" s="224" t="s">
        <v>1374</v>
      </c>
      <c r="J42" s="224" t="s">
        <v>1375</v>
      </c>
      <c r="K42" s="206" t="s">
        <v>1373</v>
      </c>
      <c r="L42" s="265" t="s">
        <v>162</v>
      </c>
      <c r="M42" s="206" t="s">
        <v>1769</v>
      </c>
      <c r="N42" s="206" t="s">
        <v>1769</v>
      </c>
      <c r="O42" s="208" t="s">
        <v>1769</v>
      </c>
      <c r="P42" s="209" t="s">
        <v>1224</v>
      </c>
      <c r="Q42" s="205" t="s">
        <v>1205</v>
      </c>
      <c r="R42" s="211" t="s">
        <v>585</v>
      </c>
      <c r="S42" s="205" t="s">
        <v>1179</v>
      </c>
      <c r="T42" s="210" t="s">
        <v>325</v>
      </c>
      <c r="U42" s="206" t="s">
        <v>1769</v>
      </c>
      <c r="V42" s="206" t="s">
        <v>1769</v>
      </c>
      <c r="W42" s="205" t="s">
        <v>1769</v>
      </c>
      <c r="X42" s="205" t="s">
        <v>1769</v>
      </c>
      <c r="Y42" s="208"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row>
    <row r="43" spans="1:36" ht="22.5">
      <c r="A43" s="205">
        <v>2721</v>
      </c>
      <c r="B43" s="206" t="s">
        <v>1158</v>
      </c>
      <c r="C43" s="253" t="s">
        <v>1206</v>
      </c>
      <c r="D43" s="206" t="str">
        <f t="shared" si="1"/>
        <v>宮城400あ2721</v>
      </c>
      <c r="E43" s="206" t="s">
        <v>1077</v>
      </c>
      <c r="F43" s="206" t="s">
        <v>1332</v>
      </c>
      <c r="G43" s="206" t="s">
        <v>1331</v>
      </c>
      <c r="H43" s="105" t="s">
        <v>1705</v>
      </c>
      <c r="I43" s="205" t="s">
        <v>1769</v>
      </c>
      <c r="J43" s="205" t="s">
        <v>1769</v>
      </c>
      <c r="K43" s="206" t="s">
        <v>1782</v>
      </c>
      <c r="L43" s="223" t="s">
        <v>162</v>
      </c>
      <c r="M43" s="222" t="s">
        <v>1051</v>
      </c>
      <c r="N43" s="205" t="s">
        <v>1769</v>
      </c>
      <c r="O43" s="220" t="s">
        <v>1769</v>
      </c>
      <c r="P43" s="206" t="s">
        <v>402</v>
      </c>
      <c r="Q43" s="206" t="s">
        <v>401</v>
      </c>
      <c r="R43" s="205" t="s">
        <v>1769</v>
      </c>
      <c r="S43" s="205" t="s">
        <v>1184</v>
      </c>
      <c r="T43" s="206" t="s">
        <v>1517</v>
      </c>
      <c r="U43" s="205" t="s">
        <v>1769</v>
      </c>
      <c r="V43" s="205" t="s">
        <v>1769</v>
      </c>
      <c r="W43" s="205" t="s">
        <v>1769</v>
      </c>
      <c r="X43" s="205" t="s">
        <v>1769</v>
      </c>
      <c r="Y43" s="268" t="s">
        <v>1783</v>
      </c>
      <c r="Z43" s="205" t="s">
        <v>1769</v>
      </c>
      <c r="AA43" s="205" t="s">
        <v>1737</v>
      </c>
      <c r="AB43" s="205" t="s">
        <v>254</v>
      </c>
      <c r="AC43" s="205" t="s">
        <v>457</v>
      </c>
      <c r="AD43" s="206" t="s">
        <v>323</v>
      </c>
      <c r="AE43" s="246" t="s">
        <v>1769</v>
      </c>
      <c r="AF43" s="246">
        <v>206800</v>
      </c>
      <c r="AG43" s="246">
        <v>221300</v>
      </c>
      <c r="AH43" s="246" t="s">
        <v>1769</v>
      </c>
      <c r="AI43" s="246" t="s">
        <v>1769</v>
      </c>
      <c r="AJ43" s="246" t="s">
        <v>1769</v>
      </c>
    </row>
    <row r="44" spans="1:36">
      <c r="A44" s="206">
        <v>162</v>
      </c>
      <c r="B44" s="206" t="s">
        <v>1407</v>
      </c>
      <c r="C44" s="253" t="s">
        <v>1206</v>
      </c>
      <c r="D44" s="206" t="str">
        <f t="shared" si="1"/>
        <v>三河100い162</v>
      </c>
      <c r="E44" s="205" t="s">
        <v>1346</v>
      </c>
      <c r="F44" s="206" t="s">
        <v>525</v>
      </c>
      <c r="G44" s="206" t="s">
        <v>1234</v>
      </c>
      <c r="H44" s="227" t="s">
        <v>526</v>
      </c>
      <c r="I44" s="206" t="s">
        <v>1408</v>
      </c>
      <c r="J44" s="206" t="s">
        <v>1291</v>
      </c>
      <c r="K44" s="206" t="s">
        <v>381</v>
      </c>
      <c r="L44" s="223" t="s">
        <v>162</v>
      </c>
      <c r="M44" s="206" t="s">
        <v>1776</v>
      </c>
      <c r="N44" s="181">
        <v>42270</v>
      </c>
      <c r="O44" s="208">
        <v>87780</v>
      </c>
      <c r="P44" s="209" t="s">
        <v>1224</v>
      </c>
      <c r="Q44" s="205" t="s">
        <v>1205</v>
      </c>
      <c r="R44" s="211" t="s">
        <v>1769</v>
      </c>
      <c r="S44" s="205" t="s">
        <v>1175</v>
      </c>
      <c r="T44" s="205" t="s">
        <v>379</v>
      </c>
      <c r="U44" s="206" t="s">
        <v>1769</v>
      </c>
      <c r="V44" s="206" t="s">
        <v>1769</v>
      </c>
      <c r="W44" s="205" t="s">
        <v>1769</v>
      </c>
      <c r="X44" s="205" t="s">
        <v>1769</v>
      </c>
      <c r="Y44" s="208"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row>
    <row r="45" spans="1:36">
      <c r="A45" s="206">
        <v>1053</v>
      </c>
      <c r="B45" s="206" t="s">
        <v>1409</v>
      </c>
      <c r="C45" s="253" t="s">
        <v>1206</v>
      </c>
      <c r="D45" s="206" t="str">
        <f t="shared" si="1"/>
        <v>三河100え1053</v>
      </c>
      <c r="E45" s="205" t="s">
        <v>1492</v>
      </c>
      <c r="F45" s="206" t="s">
        <v>887</v>
      </c>
      <c r="G45" s="206" t="s">
        <v>1784</v>
      </c>
      <c r="H45" s="206" t="s">
        <v>387</v>
      </c>
      <c r="I45" s="206" t="s">
        <v>1493</v>
      </c>
      <c r="J45" s="206" t="s">
        <v>1494</v>
      </c>
      <c r="K45" s="206" t="s">
        <v>388</v>
      </c>
      <c r="L45" s="265" t="s">
        <v>287</v>
      </c>
      <c r="M45" s="206" t="s">
        <v>1769</v>
      </c>
      <c r="N45" s="206" t="s">
        <v>1769</v>
      </c>
      <c r="O45" s="208" t="s">
        <v>1769</v>
      </c>
      <c r="P45" s="209" t="s">
        <v>1224</v>
      </c>
      <c r="Q45" s="205" t="s">
        <v>1769</v>
      </c>
      <c r="R45" s="211" t="s">
        <v>570</v>
      </c>
      <c r="S45" s="205" t="s">
        <v>1181</v>
      </c>
      <c r="T45" s="210" t="s">
        <v>1769</v>
      </c>
      <c r="U45" s="206" t="s">
        <v>1769</v>
      </c>
      <c r="V45" s="206" t="s">
        <v>1769</v>
      </c>
      <c r="W45" s="205" t="s">
        <v>1769</v>
      </c>
      <c r="X45" s="205" t="s">
        <v>1769</v>
      </c>
      <c r="Y45" s="208" t="s">
        <v>1769</v>
      </c>
      <c r="Z45" s="205" t="s">
        <v>1735</v>
      </c>
      <c r="AA45" s="205" t="s">
        <v>1769</v>
      </c>
      <c r="AB45" s="205" t="s">
        <v>254</v>
      </c>
      <c r="AC45" s="205" t="s">
        <v>294</v>
      </c>
      <c r="AD45" s="205" t="s">
        <v>1495</v>
      </c>
      <c r="AE45" s="246" t="s">
        <v>1769</v>
      </c>
      <c r="AF45" s="246" t="s">
        <v>1769</v>
      </c>
      <c r="AG45" s="246" t="s">
        <v>1769</v>
      </c>
      <c r="AH45" s="246" t="s">
        <v>1769</v>
      </c>
      <c r="AI45" s="246" t="s">
        <v>1769</v>
      </c>
      <c r="AJ45" s="246" t="s">
        <v>1769</v>
      </c>
    </row>
    <row r="46" spans="1:36">
      <c r="A46" s="205">
        <v>1147</v>
      </c>
      <c r="B46" s="205" t="s">
        <v>1409</v>
      </c>
      <c r="C46" s="253" t="s">
        <v>1206</v>
      </c>
      <c r="D46" s="206" t="str">
        <f t="shared" si="1"/>
        <v>三河100え1147</v>
      </c>
      <c r="E46" s="205" t="s">
        <v>1410</v>
      </c>
      <c r="F46" s="206" t="s">
        <v>602</v>
      </c>
      <c r="G46" s="205" t="s">
        <v>1785</v>
      </c>
      <c r="H46" s="206" t="s">
        <v>1411</v>
      </c>
      <c r="I46" s="205" t="s">
        <v>1412</v>
      </c>
      <c r="J46" s="205" t="s">
        <v>1413</v>
      </c>
      <c r="K46" s="205" t="s">
        <v>1769</v>
      </c>
      <c r="L46" s="206" t="s">
        <v>162</v>
      </c>
      <c r="M46" s="205" t="s">
        <v>1769</v>
      </c>
      <c r="N46" s="205" t="s">
        <v>1769</v>
      </c>
      <c r="O46" s="212" t="s">
        <v>1769</v>
      </c>
      <c r="P46" s="205" t="s">
        <v>1224</v>
      </c>
      <c r="Q46" s="205" t="s">
        <v>1769</v>
      </c>
      <c r="R46" s="211" t="s">
        <v>1815</v>
      </c>
      <c r="S46" s="205" t="s">
        <v>1175</v>
      </c>
      <c r="T46" s="205" t="s">
        <v>1769</v>
      </c>
      <c r="U46" s="205" t="s">
        <v>1769</v>
      </c>
      <c r="V46" s="205" t="s">
        <v>1769</v>
      </c>
      <c r="W46" s="205" t="s">
        <v>1769</v>
      </c>
      <c r="X46" s="205" t="s">
        <v>1769</v>
      </c>
      <c r="Y46" s="212"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row>
    <row r="47" spans="1:36">
      <c r="A47" s="205">
        <v>1148</v>
      </c>
      <c r="B47" s="205" t="s">
        <v>506</v>
      </c>
      <c r="C47" s="253" t="s">
        <v>1206</v>
      </c>
      <c r="D47" s="206" t="str">
        <f t="shared" si="1"/>
        <v>三河100え1148</v>
      </c>
      <c r="E47" s="205" t="s">
        <v>606</v>
      </c>
      <c r="F47" s="206" t="s">
        <v>602</v>
      </c>
      <c r="G47" s="205" t="s">
        <v>1785</v>
      </c>
      <c r="H47" s="206" t="s">
        <v>607</v>
      </c>
      <c r="I47" s="207" t="s">
        <v>603</v>
      </c>
      <c r="J47" s="207" t="s">
        <v>608</v>
      </c>
      <c r="K47" s="205" t="s">
        <v>1769</v>
      </c>
      <c r="L47" s="206" t="s">
        <v>162</v>
      </c>
      <c r="M47" s="205" t="s">
        <v>1769</v>
      </c>
      <c r="N47" s="205" t="s">
        <v>1769</v>
      </c>
      <c r="O47" s="220" t="s">
        <v>1769</v>
      </c>
      <c r="P47" s="209" t="s">
        <v>400</v>
      </c>
      <c r="Q47" s="205" t="s">
        <v>1769</v>
      </c>
      <c r="R47" s="211" t="s">
        <v>570</v>
      </c>
      <c r="S47" s="205" t="s">
        <v>1175</v>
      </c>
      <c r="T47" s="205" t="s">
        <v>1769</v>
      </c>
      <c r="U47" s="205" t="s">
        <v>1769</v>
      </c>
      <c r="V47" s="205" t="s">
        <v>1769</v>
      </c>
      <c r="W47" s="205" t="s">
        <v>1769</v>
      </c>
      <c r="X47" s="205" t="s">
        <v>1769</v>
      </c>
      <c r="Y47" s="220"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row>
    <row r="48" spans="1:36">
      <c r="A48" s="205">
        <v>1156</v>
      </c>
      <c r="B48" s="205" t="s">
        <v>1409</v>
      </c>
      <c r="C48" s="253" t="s">
        <v>1761</v>
      </c>
      <c r="D48" s="206" t="str">
        <f t="shared" si="1"/>
        <v>三河100え1156</v>
      </c>
      <c r="E48" s="205" t="s">
        <v>1415</v>
      </c>
      <c r="F48" s="205" t="s">
        <v>1416</v>
      </c>
      <c r="G48" s="205" t="s">
        <v>1414</v>
      </c>
      <c r="H48" s="209" t="s">
        <v>626</v>
      </c>
      <c r="I48" s="205" t="s">
        <v>1417</v>
      </c>
      <c r="J48" s="205" t="s">
        <v>1418</v>
      </c>
      <c r="K48" s="205" t="s">
        <v>1769</v>
      </c>
      <c r="L48" s="223" t="s">
        <v>162</v>
      </c>
      <c r="M48" s="206" t="s">
        <v>1776</v>
      </c>
      <c r="N48" s="181">
        <v>42489</v>
      </c>
      <c r="O48" s="212">
        <v>74412</v>
      </c>
      <c r="P48" s="205" t="s">
        <v>1224</v>
      </c>
      <c r="Q48" s="205" t="s">
        <v>1769</v>
      </c>
      <c r="R48" s="211" t="s">
        <v>1815</v>
      </c>
      <c r="S48" s="205" t="s">
        <v>1175</v>
      </c>
      <c r="T48" s="205" t="s">
        <v>1769</v>
      </c>
      <c r="U48" s="205" t="s">
        <v>1769</v>
      </c>
      <c r="V48" s="205" t="s">
        <v>1769</v>
      </c>
      <c r="W48" s="205" t="s">
        <v>1769</v>
      </c>
      <c r="X48" s="205" t="s">
        <v>1769</v>
      </c>
      <c r="Y48" s="212"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row>
    <row r="49" spans="1:36">
      <c r="A49" s="206">
        <v>705</v>
      </c>
      <c r="B49" s="206" t="s">
        <v>1409</v>
      </c>
      <c r="C49" s="253" t="s">
        <v>1206</v>
      </c>
      <c r="D49" s="206" t="str">
        <f t="shared" si="1"/>
        <v>三河100え705</v>
      </c>
      <c r="E49" s="205" t="s">
        <v>1410</v>
      </c>
      <c r="F49" s="206" t="s">
        <v>637</v>
      </c>
      <c r="G49" s="206" t="s">
        <v>1785</v>
      </c>
      <c r="H49" s="206" t="s">
        <v>392</v>
      </c>
      <c r="I49" s="206" t="s">
        <v>1296</v>
      </c>
      <c r="J49" s="206" t="s">
        <v>1496</v>
      </c>
      <c r="K49" s="206" t="s">
        <v>355</v>
      </c>
      <c r="L49" s="265" t="s">
        <v>287</v>
      </c>
      <c r="M49" s="222" t="s">
        <v>1769</v>
      </c>
      <c r="N49" s="206" t="s">
        <v>1769</v>
      </c>
      <c r="O49" s="208" t="s">
        <v>1769</v>
      </c>
      <c r="P49" s="209" t="s">
        <v>1224</v>
      </c>
      <c r="Q49" s="205" t="s">
        <v>1769</v>
      </c>
      <c r="R49" s="211" t="s">
        <v>570</v>
      </c>
      <c r="S49" s="205" t="s">
        <v>1181</v>
      </c>
      <c r="T49" s="210" t="s">
        <v>1769</v>
      </c>
      <c r="U49" s="206" t="s">
        <v>1769</v>
      </c>
      <c r="V49" s="206" t="s">
        <v>1769</v>
      </c>
      <c r="W49" s="205" t="s">
        <v>1769</v>
      </c>
      <c r="X49" s="205" t="s">
        <v>1769</v>
      </c>
      <c r="Y49" s="208" t="s">
        <v>1769</v>
      </c>
      <c r="Z49" s="205" t="s">
        <v>1735</v>
      </c>
      <c r="AA49" s="205" t="s">
        <v>1769</v>
      </c>
      <c r="AB49" s="205" t="s">
        <v>254</v>
      </c>
      <c r="AC49" s="205" t="s">
        <v>294</v>
      </c>
      <c r="AD49" s="205" t="s">
        <v>1495</v>
      </c>
      <c r="AE49" s="246" t="s">
        <v>1769</v>
      </c>
      <c r="AF49" s="246" t="s">
        <v>1769</v>
      </c>
      <c r="AG49" s="246" t="s">
        <v>1769</v>
      </c>
      <c r="AH49" s="246" t="s">
        <v>1769</v>
      </c>
      <c r="AI49" s="246" t="s">
        <v>1769</v>
      </c>
      <c r="AJ49" s="246" t="s">
        <v>1769</v>
      </c>
    </row>
    <row r="50" spans="1:36">
      <c r="A50" s="206">
        <v>720</v>
      </c>
      <c r="B50" s="206" t="s">
        <v>1409</v>
      </c>
      <c r="C50" s="253" t="s">
        <v>1206</v>
      </c>
      <c r="D50" s="206" t="str">
        <f t="shared" si="1"/>
        <v>三河100え720</v>
      </c>
      <c r="E50" s="205" t="s">
        <v>1497</v>
      </c>
      <c r="F50" s="206" t="s">
        <v>637</v>
      </c>
      <c r="G50" s="206" t="s">
        <v>1785</v>
      </c>
      <c r="H50" s="206" t="s">
        <v>876</v>
      </c>
      <c r="I50" s="206" t="s">
        <v>1296</v>
      </c>
      <c r="J50" s="206" t="s">
        <v>1498</v>
      </c>
      <c r="K50" s="206" t="s">
        <v>355</v>
      </c>
      <c r="L50" s="265" t="s">
        <v>287</v>
      </c>
      <c r="M50" s="206" t="s">
        <v>1769</v>
      </c>
      <c r="N50" s="206" t="s">
        <v>1769</v>
      </c>
      <c r="O50" s="208" t="s">
        <v>1769</v>
      </c>
      <c r="P50" s="209" t="s">
        <v>1224</v>
      </c>
      <c r="Q50" s="205" t="s">
        <v>1769</v>
      </c>
      <c r="R50" s="211" t="s">
        <v>570</v>
      </c>
      <c r="S50" s="205" t="s">
        <v>1181</v>
      </c>
      <c r="T50" s="210" t="s">
        <v>1769</v>
      </c>
      <c r="U50" s="206" t="s">
        <v>1769</v>
      </c>
      <c r="V50" s="206" t="s">
        <v>1769</v>
      </c>
      <c r="W50" s="205" t="s">
        <v>1769</v>
      </c>
      <c r="X50" s="205" t="s">
        <v>1769</v>
      </c>
      <c r="Y50" s="208" t="s">
        <v>1769</v>
      </c>
      <c r="Z50" s="205" t="s">
        <v>1735</v>
      </c>
      <c r="AA50" s="205" t="s">
        <v>1769</v>
      </c>
      <c r="AB50" s="205" t="s">
        <v>254</v>
      </c>
      <c r="AC50" s="205" t="s">
        <v>294</v>
      </c>
      <c r="AD50" s="205" t="s">
        <v>1495</v>
      </c>
      <c r="AE50" s="246" t="s">
        <v>1769</v>
      </c>
      <c r="AF50" s="246" t="s">
        <v>1769</v>
      </c>
      <c r="AG50" s="246" t="s">
        <v>1769</v>
      </c>
      <c r="AH50" s="246" t="s">
        <v>1769</v>
      </c>
      <c r="AI50" s="246" t="s">
        <v>1769</v>
      </c>
      <c r="AJ50" s="246" t="s">
        <v>1769</v>
      </c>
    </row>
    <row r="51" spans="1:36">
      <c r="A51" s="206">
        <v>774</v>
      </c>
      <c r="B51" s="206" t="s">
        <v>1409</v>
      </c>
      <c r="C51" s="253" t="s">
        <v>1206</v>
      </c>
      <c r="D51" s="206" t="str">
        <f t="shared" si="1"/>
        <v>三河100え774</v>
      </c>
      <c r="E51" s="206" t="s">
        <v>1289</v>
      </c>
      <c r="F51" s="206" t="s">
        <v>637</v>
      </c>
      <c r="G51" s="206" t="s">
        <v>1785</v>
      </c>
      <c r="H51" s="206" t="s">
        <v>878</v>
      </c>
      <c r="I51" s="206" t="s">
        <v>1296</v>
      </c>
      <c r="J51" s="206" t="s">
        <v>1499</v>
      </c>
      <c r="K51" s="206" t="s">
        <v>355</v>
      </c>
      <c r="L51" s="265" t="s">
        <v>287</v>
      </c>
      <c r="M51" s="206" t="s">
        <v>1769</v>
      </c>
      <c r="N51" s="206" t="s">
        <v>1769</v>
      </c>
      <c r="O51" s="208" t="s">
        <v>1769</v>
      </c>
      <c r="P51" s="209" t="s">
        <v>1224</v>
      </c>
      <c r="Q51" s="205" t="s">
        <v>1769</v>
      </c>
      <c r="R51" s="211" t="s">
        <v>570</v>
      </c>
      <c r="S51" s="205" t="s">
        <v>1181</v>
      </c>
      <c r="T51" s="210" t="s">
        <v>1769</v>
      </c>
      <c r="U51" s="206" t="s">
        <v>1769</v>
      </c>
      <c r="V51" s="206" t="s">
        <v>1769</v>
      </c>
      <c r="W51" s="205" t="s">
        <v>1769</v>
      </c>
      <c r="X51" s="205" t="s">
        <v>1769</v>
      </c>
      <c r="Y51" s="208" t="s">
        <v>1769</v>
      </c>
      <c r="Z51" s="205" t="s">
        <v>1735</v>
      </c>
      <c r="AA51" s="205" t="s">
        <v>1769</v>
      </c>
      <c r="AB51" s="205" t="s">
        <v>254</v>
      </c>
      <c r="AC51" s="205" t="s">
        <v>294</v>
      </c>
      <c r="AD51" s="205" t="s">
        <v>1495</v>
      </c>
      <c r="AE51" s="246" t="s">
        <v>1769</v>
      </c>
      <c r="AF51" s="246" t="s">
        <v>1769</v>
      </c>
      <c r="AG51" s="246" t="s">
        <v>1769</v>
      </c>
      <c r="AH51" s="246" t="s">
        <v>1769</v>
      </c>
      <c r="AI51" s="246" t="s">
        <v>1769</v>
      </c>
      <c r="AJ51" s="246" t="s">
        <v>1769</v>
      </c>
    </row>
    <row r="52" spans="1:36">
      <c r="A52" s="206">
        <v>817</v>
      </c>
      <c r="B52" s="206" t="s">
        <v>1409</v>
      </c>
      <c r="C52" s="253" t="s">
        <v>1206</v>
      </c>
      <c r="D52" s="206" t="str">
        <f t="shared" si="1"/>
        <v>三河100え817</v>
      </c>
      <c r="E52" s="205" t="s">
        <v>1325</v>
      </c>
      <c r="F52" s="206" t="s">
        <v>637</v>
      </c>
      <c r="G52" s="206" t="s">
        <v>1785</v>
      </c>
      <c r="H52" s="206" t="s">
        <v>393</v>
      </c>
      <c r="I52" s="206" t="s">
        <v>1296</v>
      </c>
      <c r="J52" s="206" t="s">
        <v>1500</v>
      </c>
      <c r="K52" s="206" t="s">
        <v>355</v>
      </c>
      <c r="L52" s="265" t="s">
        <v>287</v>
      </c>
      <c r="M52" s="206" t="s">
        <v>1769</v>
      </c>
      <c r="N52" s="206" t="s">
        <v>1769</v>
      </c>
      <c r="O52" s="208" t="s">
        <v>1769</v>
      </c>
      <c r="P52" s="209" t="s">
        <v>1224</v>
      </c>
      <c r="Q52" s="205" t="s">
        <v>1769</v>
      </c>
      <c r="R52" s="211" t="s">
        <v>570</v>
      </c>
      <c r="S52" s="205" t="s">
        <v>1181</v>
      </c>
      <c r="T52" s="210" t="s">
        <v>1769</v>
      </c>
      <c r="U52" s="206" t="s">
        <v>1769</v>
      </c>
      <c r="V52" s="206" t="s">
        <v>1769</v>
      </c>
      <c r="W52" s="205" t="s">
        <v>1769</v>
      </c>
      <c r="X52" s="205" t="s">
        <v>1769</v>
      </c>
      <c r="Y52" s="208" t="s">
        <v>1769</v>
      </c>
      <c r="Z52" s="205" t="s">
        <v>1735</v>
      </c>
      <c r="AA52" s="205" t="s">
        <v>1769</v>
      </c>
      <c r="AB52" s="205" t="s">
        <v>254</v>
      </c>
      <c r="AC52" s="205" t="s">
        <v>294</v>
      </c>
      <c r="AD52" s="205" t="s">
        <v>1495</v>
      </c>
      <c r="AE52" s="246" t="s">
        <v>1769</v>
      </c>
      <c r="AF52" s="246" t="s">
        <v>1769</v>
      </c>
      <c r="AG52" s="246" t="s">
        <v>1769</v>
      </c>
      <c r="AH52" s="246" t="s">
        <v>1769</v>
      </c>
      <c r="AI52" s="246" t="s">
        <v>1769</v>
      </c>
      <c r="AJ52" s="246" t="s">
        <v>1769</v>
      </c>
    </row>
    <row r="53" spans="1:36">
      <c r="A53" s="206">
        <v>830</v>
      </c>
      <c r="B53" s="206" t="s">
        <v>1409</v>
      </c>
      <c r="C53" s="253" t="s">
        <v>1206</v>
      </c>
      <c r="D53" s="206" t="str">
        <f t="shared" si="1"/>
        <v>三河100え830</v>
      </c>
      <c r="E53" s="205" t="s">
        <v>1501</v>
      </c>
      <c r="F53" s="206" t="s">
        <v>882</v>
      </c>
      <c r="G53" s="206" t="s">
        <v>1786</v>
      </c>
      <c r="H53" s="206" t="s">
        <v>390</v>
      </c>
      <c r="I53" s="206" t="s">
        <v>1502</v>
      </c>
      <c r="J53" s="206" t="s">
        <v>1503</v>
      </c>
      <c r="K53" s="206" t="s">
        <v>391</v>
      </c>
      <c r="L53" s="265" t="s">
        <v>287</v>
      </c>
      <c r="M53" s="206" t="s">
        <v>1769</v>
      </c>
      <c r="N53" s="206" t="s">
        <v>1769</v>
      </c>
      <c r="O53" s="208" t="s">
        <v>1769</v>
      </c>
      <c r="P53" s="209" t="s">
        <v>1224</v>
      </c>
      <c r="Q53" s="205" t="s">
        <v>1769</v>
      </c>
      <c r="R53" s="211" t="s">
        <v>1504</v>
      </c>
      <c r="S53" s="205" t="s">
        <v>1181</v>
      </c>
      <c r="T53" s="210" t="s">
        <v>1769</v>
      </c>
      <c r="U53" s="206" t="s">
        <v>1769</v>
      </c>
      <c r="V53" s="206" t="s">
        <v>1769</v>
      </c>
      <c r="W53" s="205" t="s">
        <v>1769</v>
      </c>
      <c r="X53" s="205" t="s">
        <v>1769</v>
      </c>
      <c r="Y53" s="208" t="s">
        <v>1769</v>
      </c>
      <c r="Z53" s="205" t="s">
        <v>1735</v>
      </c>
      <c r="AA53" s="205" t="s">
        <v>1769</v>
      </c>
      <c r="AB53" s="205" t="s">
        <v>254</v>
      </c>
      <c r="AC53" s="205" t="s">
        <v>294</v>
      </c>
      <c r="AD53" s="205" t="s">
        <v>1495</v>
      </c>
      <c r="AE53" s="246" t="s">
        <v>1769</v>
      </c>
      <c r="AF53" s="246" t="s">
        <v>1769</v>
      </c>
      <c r="AG53" s="246" t="s">
        <v>1769</v>
      </c>
      <c r="AH53" s="246" t="s">
        <v>1769</v>
      </c>
      <c r="AI53" s="246" t="s">
        <v>1769</v>
      </c>
      <c r="AJ53" s="246" t="s">
        <v>1769</v>
      </c>
    </row>
    <row r="54" spans="1:36">
      <c r="A54" s="206">
        <v>988</v>
      </c>
      <c r="B54" s="206" t="s">
        <v>1409</v>
      </c>
      <c r="C54" s="253" t="s">
        <v>1206</v>
      </c>
      <c r="D54" s="206" t="str">
        <f t="shared" si="1"/>
        <v>三河100え988</v>
      </c>
      <c r="E54" s="205" t="s">
        <v>1238</v>
      </c>
      <c r="F54" s="206" t="s">
        <v>548</v>
      </c>
      <c r="G54" s="206" t="s">
        <v>1303</v>
      </c>
      <c r="H54" s="206" t="s">
        <v>336</v>
      </c>
      <c r="I54" s="206" t="s">
        <v>1419</v>
      </c>
      <c r="J54" s="206" t="s">
        <v>1420</v>
      </c>
      <c r="K54" s="206" t="s">
        <v>353</v>
      </c>
      <c r="L54" s="265" t="s">
        <v>162</v>
      </c>
      <c r="M54" s="206" t="s">
        <v>1769</v>
      </c>
      <c r="N54" s="206" t="s">
        <v>1769</v>
      </c>
      <c r="O54" s="208" t="s">
        <v>1769</v>
      </c>
      <c r="P54" s="209" t="s">
        <v>1224</v>
      </c>
      <c r="Q54" s="205" t="s">
        <v>1769</v>
      </c>
      <c r="R54" s="211" t="s">
        <v>551</v>
      </c>
      <c r="S54" s="205" t="s">
        <v>1175</v>
      </c>
      <c r="T54" s="210" t="s">
        <v>1769</v>
      </c>
      <c r="U54" s="206" t="s">
        <v>1769</v>
      </c>
      <c r="V54" s="206" t="s">
        <v>1769</v>
      </c>
      <c r="W54" s="205" t="s">
        <v>1769</v>
      </c>
      <c r="X54" s="205" t="s">
        <v>1769</v>
      </c>
      <c r="Y54" s="208"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row>
    <row r="55" spans="1:36" ht="22.5">
      <c r="A55" s="209">
        <v>7132</v>
      </c>
      <c r="B55" s="209" t="s">
        <v>1421</v>
      </c>
      <c r="C55" s="253" t="s">
        <v>1206</v>
      </c>
      <c r="D55" s="206" t="str">
        <f t="shared" si="1"/>
        <v>三河100か7132</v>
      </c>
      <c r="E55" s="210" t="s">
        <v>1422</v>
      </c>
      <c r="F55" s="210" t="s">
        <v>572</v>
      </c>
      <c r="G55" s="210" t="s">
        <v>1772</v>
      </c>
      <c r="H55" s="209" t="s">
        <v>202</v>
      </c>
      <c r="I55" s="218" t="s">
        <v>1423</v>
      </c>
      <c r="J55" s="218" t="s">
        <v>1424</v>
      </c>
      <c r="K55" s="209" t="s">
        <v>170</v>
      </c>
      <c r="L55" s="265" t="s">
        <v>162</v>
      </c>
      <c r="M55" s="206" t="s">
        <v>1769</v>
      </c>
      <c r="N55" s="206" t="s">
        <v>1769</v>
      </c>
      <c r="O55" s="208" t="s">
        <v>1769</v>
      </c>
      <c r="P55" s="209" t="s">
        <v>1224</v>
      </c>
      <c r="Q55" s="205" t="s">
        <v>1205</v>
      </c>
      <c r="R55" s="211" t="s">
        <v>405</v>
      </c>
      <c r="S55" s="205" t="s">
        <v>1175</v>
      </c>
      <c r="T55" s="210" t="s">
        <v>1312</v>
      </c>
      <c r="U55" s="206" t="s">
        <v>1769</v>
      </c>
      <c r="V55" s="206" t="s">
        <v>1769</v>
      </c>
      <c r="W55" s="205" t="s">
        <v>1769</v>
      </c>
      <c r="X55" s="205" t="s">
        <v>1769</v>
      </c>
      <c r="Y55" s="208"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row>
    <row r="56" spans="1:36">
      <c r="A56" s="209">
        <v>8217</v>
      </c>
      <c r="B56" s="209" t="s">
        <v>1421</v>
      </c>
      <c r="C56" s="253" t="s">
        <v>1206</v>
      </c>
      <c r="D56" s="206" t="str">
        <f t="shared" si="1"/>
        <v>三河100か8217</v>
      </c>
      <c r="E56" s="210" t="s">
        <v>1426</v>
      </c>
      <c r="F56" s="209" t="s">
        <v>577</v>
      </c>
      <c r="G56" s="210" t="s">
        <v>1266</v>
      </c>
      <c r="H56" s="209" t="s">
        <v>266</v>
      </c>
      <c r="I56" s="210" t="s">
        <v>1427</v>
      </c>
      <c r="J56" s="210" t="s">
        <v>1428</v>
      </c>
      <c r="K56" s="210" t="s">
        <v>180</v>
      </c>
      <c r="L56" s="265" t="s">
        <v>162</v>
      </c>
      <c r="M56" s="206" t="s">
        <v>1769</v>
      </c>
      <c r="N56" s="206" t="s">
        <v>1769</v>
      </c>
      <c r="O56" s="208" t="s">
        <v>1769</v>
      </c>
      <c r="P56" s="209" t="s">
        <v>1224</v>
      </c>
      <c r="Q56" s="205" t="s">
        <v>1205</v>
      </c>
      <c r="R56" s="211" t="s">
        <v>1769</v>
      </c>
      <c r="S56" s="205" t="s">
        <v>1175</v>
      </c>
      <c r="T56" s="210" t="s">
        <v>1425</v>
      </c>
      <c r="U56" s="206" t="s">
        <v>1769</v>
      </c>
      <c r="V56" s="206" t="s">
        <v>1769</v>
      </c>
      <c r="W56" s="205" t="s">
        <v>1769</v>
      </c>
      <c r="X56" s="205" t="s">
        <v>1769</v>
      </c>
      <c r="Y56" s="208" t="s">
        <v>1769</v>
      </c>
      <c r="Z56" s="205" t="s">
        <v>254</v>
      </c>
      <c r="AA56" s="205" t="s">
        <v>1769</v>
      </c>
      <c r="AB56" s="205" t="s">
        <v>254</v>
      </c>
      <c r="AC56" s="205" t="s">
        <v>457</v>
      </c>
      <c r="AD56" s="209" t="s">
        <v>323</v>
      </c>
      <c r="AE56" s="246" t="s">
        <v>1769</v>
      </c>
      <c r="AF56" s="246">
        <v>151300</v>
      </c>
      <c r="AG56" s="246">
        <v>172200</v>
      </c>
      <c r="AH56" s="246" t="s">
        <v>1769</v>
      </c>
      <c r="AI56" s="246" t="s">
        <v>1769</v>
      </c>
      <c r="AJ56" s="246" t="s">
        <v>1769</v>
      </c>
    </row>
    <row r="57" spans="1:36">
      <c r="A57" s="209">
        <v>8934</v>
      </c>
      <c r="B57" s="209" t="s">
        <v>1421</v>
      </c>
      <c r="C57" s="253" t="s">
        <v>1206</v>
      </c>
      <c r="D57" s="206" t="str">
        <f t="shared" si="1"/>
        <v>三河100か8934</v>
      </c>
      <c r="E57" s="210" t="s">
        <v>1505</v>
      </c>
      <c r="F57" s="209" t="s">
        <v>890</v>
      </c>
      <c r="G57" s="210" t="s">
        <v>775</v>
      </c>
      <c r="H57" s="209" t="s">
        <v>891</v>
      </c>
      <c r="I57" s="210" t="s">
        <v>1506</v>
      </c>
      <c r="J57" s="210" t="s">
        <v>1507</v>
      </c>
      <c r="K57" s="210" t="s">
        <v>297</v>
      </c>
      <c r="L57" s="265" t="s">
        <v>287</v>
      </c>
      <c r="M57" s="206" t="s">
        <v>1769</v>
      </c>
      <c r="N57" s="206" t="s">
        <v>1769</v>
      </c>
      <c r="O57" s="208" t="s">
        <v>1769</v>
      </c>
      <c r="P57" s="209" t="s">
        <v>1224</v>
      </c>
      <c r="Q57" s="205" t="s">
        <v>1205</v>
      </c>
      <c r="R57" s="211" t="s">
        <v>1769</v>
      </c>
      <c r="S57" s="205" t="s">
        <v>1181</v>
      </c>
      <c r="T57" s="210" t="s">
        <v>1226</v>
      </c>
      <c r="U57" s="206" t="s">
        <v>1769</v>
      </c>
      <c r="V57" s="206" t="s">
        <v>1769</v>
      </c>
      <c r="W57" s="205" t="s">
        <v>1769</v>
      </c>
      <c r="X57" s="205" t="s">
        <v>1769</v>
      </c>
      <c r="Y57" s="208" t="s">
        <v>1769</v>
      </c>
      <c r="Z57" s="205" t="s">
        <v>1735</v>
      </c>
      <c r="AA57" s="205" t="s">
        <v>1769</v>
      </c>
      <c r="AB57" s="205" t="s">
        <v>254</v>
      </c>
      <c r="AC57" s="205" t="s">
        <v>294</v>
      </c>
      <c r="AD57" s="205" t="s">
        <v>1495</v>
      </c>
      <c r="AE57" s="246">
        <v>117000</v>
      </c>
      <c r="AF57" s="246">
        <v>130000</v>
      </c>
      <c r="AG57" s="246" t="s">
        <v>1769</v>
      </c>
      <c r="AH57" s="246" t="s">
        <v>1769</v>
      </c>
      <c r="AI57" s="246" t="s">
        <v>1769</v>
      </c>
      <c r="AJ57" s="246" t="s">
        <v>1769</v>
      </c>
    </row>
    <row r="58" spans="1:36">
      <c r="A58" s="209">
        <v>8935</v>
      </c>
      <c r="B58" s="209" t="s">
        <v>1421</v>
      </c>
      <c r="C58" s="253" t="s">
        <v>1206</v>
      </c>
      <c r="D58" s="206" t="str">
        <f t="shared" si="1"/>
        <v>三河100か8935</v>
      </c>
      <c r="E58" s="210" t="s">
        <v>1505</v>
      </c>
      <c r="F58" s="209" t="s">
        <v>890</v>
      </c>
      <c r="G58" s="210" t="s">
        <v>775</v>
      </c>
      <c r="H58" s="209" t="s">
        <v>894</v>
      </c>
      <c r="I58" s="210" t="s">
        <v>1506</v>
      </c>
      <c r="J58" s="210" t="s">
        <v>1507</v>
      </c>
      <c r="K58" s="210" t="s">
        <v>297</v>
      </c>
      <c r="L58" s="265" t="s">
        <v>287</v>
      </c>
      <c r="M58" s="206" t="s">
        <v>1769</v>
      </c>
      <c r="N58" s="206" t="s">
        <v>1769</v>
      </c>
      <c r="O58" s="208" t="s">
        <v>1769</v>
      </c>
      <c r="P58" s="209" t="s">
        <v>1224</v>
      </c>
      <c r="Q58" s="205" t="s">
        <v>1205</v>
      </c>
      <c r="R58" s="211" t="s">
        <v>1769</v>
      </c>
      <c r="S58" s="205" t="s">
        <v>1181</v>
      </c>
      <c r="T58" s="210" t="s">
        <v>1226</v>
      </c>
      <c r="U58" s="206" t="s">
        <v>1769</v>
      </c>
      <c r="V58" s="206" t="s">
        <v>1769</v>
      </c>
      <c r="W58" s="205" t="s">
        <v>1769</v>
      </c>
      <c r="X58" s="205" t="s">
        <v>1769</v>
      </c>
      <c r="Y58" s="208" t="s">
        <v>1769</v>
      </c>
      <c r="Z58" s="205" t="s">
        <v>1735</v>
      </c>
      <c r="AA58" s="205" t="s">
        <v>1769</v>
      </c>
      <c r="AB58" s="205" t="s">
        <v>254</v>
      </c>
      <c r="AC58" s="205" t="s">
        <v>294</v>
      </c>
      <c r="AD58" s="205" t="s">
        <v>1495</v>
      </c>
      <c r="AE58" s="246">
        <v>109100</v>
      </c>
      <c r="AF58" s="246">
        <v>131500</v>
      </c>
      <c r="AG58" s="246" t="s">
        <v>1769</v>
      </c>
      <c r="AH58" s="246" t="s">
        <v>1769</v>
      </c>
      <c r="AI58" s="246" t="s">
        <v>1769</v>
      </c>
      <c r="AJ58" s="246" t="s">
        <v>1769</v>
      </c>
    </row>
    <row r="59" spans="1:36">
      <c r="A59" s="209">
        <v>9181</v>
      </c>
      <c r="B59" s="209" t="s">
        <v>1421</v>
      </c>
      <c r="C59" s="253" t="s">
        <v>1206</v>
      </c>
      <c r="D59" s="206" t="str">
        <f t="shared" si="1"/>
        <v>三河100か9181</v>
      </c>
      <c r="E59" s="210" t="s">
        <v>1508</v>
      </c>
      <c r="F59" s="209" t="s">
        <v>895</v>
      </c>
      <c r="G59" s="210" t="s">
        <v>1266</v>
      </c>
      <c r="H59" s="209" t="s">
        <v>896</v>
      </c>
      <c r="I59" s="210" t="s">
        <v>1352</v>
      </c>
      <c r="J59" s="210" t="s">
        <v>1509</v>
      </c>
      <c r="K59" s="210" t="s">
        <v>176</v>
      </c>
      <c r="L59" s="265" t="s">
        <v>287</v>
      </c>
      <c r="M59" s="206" t="s">
        <v>1769</v>
      </c>
      <c r="N59" s="206" t="s">
        <v>1769</v>
      </c>
      <c r="O59" s="208" t="s">
        <v>1769</v>
      </c>
      <c r="P59" s="209" t="s">
        <v>1224</v>
      </c>
      <c r="Q59" s="205" t="s">
        <v>1205</v>
      </c>
      <c r="R59" s="211" t="s">
        <v>1769</v>
      </c>
      <c r="S59" s="205" t="s">
        <v>1181</v>
      </c>
      <c r="T59" s="210" t="s">
        <v>1425</v>
      </c>
      <c r="U59" s="206" t="s">
        <v>1769</v>
      </c>
      <c r="V59" s="206" t="s">
        <v>1769</v>
      </c>
      <c r="W59" s="205" t="s">
        <v>1769</v>
      </c>
      <c r="X59" s="205" t="s">
        <v>1769</v>
      </c>
      <c r="Y59" s="208" t="s">
        <v>1769</v>
      </c>
      <c r="Z59" s="205" t="s">
        <v>1735</v>
      </c>
      <c r="AA59" s="205" t="s">
        <v>1769</v>
      </c>
      <c r="AB59" s="205" t="s">
        <v>254</v>
      </c>
      <c r="AC59" s="205" t="s">
        <v>294</v>
      </c>
      <c r="AD59" s="205" t="s">
        <v>1495</v>
      </c>
      <c r="AE59" s="246">
        <v>395500</v>
      </c>
      <c r="AF59" s="246">
        <v>407500</v>
      </c>
      <c r="AG59" s="246" t="s">
        <v>1769</v>
      </c>
      <c r="AH59" s="246" t="s">
        <v>1769</v>
      </c>
      <c r="AI59" s="246" t="s">
        <v>1769</v>
      </c>
      <c r="AJ59" s="246" t="s">
        <v>1769</v>
      </c>
    </row>
    <row r="60" spans="1:36">
      <c r="A60" s="209">
        <v>9208</v>
      </c>
      <c r="B60" s="209" t="s">
        <v>1421</v>
      </c>
      <c r="C60" s="253" t="s">
        <v>1206</v>
      </c>
      <c r="D60" s="206" t="str">
        <f t="shared" si="1"/>
        <v>三河100か9208</v>
      </c>
      <c r="E60" s="210" t="s">
        <v>1200</v>
      </c>
      <c r="F60" s="209" t="s">
        <v>898</v>
      </c>
      <c r="G60" s="210" t="s">
        <v>775</v>
      </c>
      <c r="H60" s="209" t="s">
        <v>899</v>
      </c>
      <c r="I60" s="210" t="s">
        <v>1510</v>
      </c>
      <c r="J60" s="210" t="s">
        <v>1511</v>
      </c>
      <c r="K60" s="210" t="s">
        <v>297</v>
      </c>
      <c r="L60" s="265" t="s">
        <v>287</v>
      </c>
      <c r="M60" s="206" t="s">
        <v>1769</v>
      </c>
      <c r="N60" s="206" t="s">
        <v>1769</v>
      </c>
      <c r="O60" s="208" t="s">
        <v>1769</v>
      </c>
      <c r="P60" s="209" t="s">
        <v>1224</v>
      </c>
      <c r="Q60" s="205" t="s">
        <v>1205</v>
      </c>
      <c r="R60" s="211" t="s">
        <v>1769</v>
      </c>
      <c r="S60" s="205" t="s">
        <v>1181</v>
      </c>
      <c r="T60" s="210" t="s">
        <v>1226</v>
      </c>
      <c r="U60" s="206" t="s">
        <v>1769</v>
      </c>
      <c r="V60" s="206" t="s">
        <v>1769</v>
      </c>
      <c r="W60" s="205" t="s">
        <v>1769</v>
      </c>
      <c r="X60" s="205" t="s">
        <v>1769</v>
      </c>
      <c r="Y60" s="208" t="s">
        <v>1769</v>
      </c>
      <c r="Z60" s="205" t="s">
        <v>1735</v>
      </c>
      <c r="AA60" s="205" t="s">
        <v>1769</v>
      </c>
      <c r="AB60" s="205" t="s">
        <v>254</v>
      </c>
      <c r="AC60" s="205" t="s">
        <v>294</v>
      </c>
      <c r="AD60" s="205" t="s">
        <v>1495</v>
      </c>
      <c r="AE60" s="246" t="s">
        <v>1769</v>
      </c>
      <c r="AF60" s="246">
        <v>141800</v>
      </c>
      <c r="AG60" s="246">
        <v>158500</v>
      </c>
      <c r="AH60" s="246" t="s">
        <v>1769</v>
      </c>
      <c r="AI60" s="246" t="s">
        <v>1769</v>
      </c>
      <c r="AJ60" s="246" t="s">
        <v>1769</v>
      </c>
    </row>
    <row r="61" spans="1:36">
      <c r="A61" s="209">
        <v>9756</v>
      </c>
      <c r="B61" s="209" t="s">
        <v>1421</v>
      </c>
      <c r="C61" s="253" t="s">
        <v>1206</v>
      </c>
      <c r="D61" s="206" t="str">
        <f t="shared" si="1"/>
        <v>三河100か9756</v>
      </c>
      <c r="E61" s="210" t="s">
        <v>198</v>
      </c>
      <c r="F61" s="210" t="s">
        <v>169</v>
      </c>
      <c r="G61" s="210" t="s">
        <v>1772</v>
      </c>
      <c r="H61" s="209" t="s">
        <v>582</v>
      </c>
      <c r="I61" s="209" t="s">
        <v>1769</v>
      </c>
      <c r="J61" s="209" t="s">
        <v>1769</v>
      </c>
      <c r="K61" s="209" t="s">
        <v>1429</v>
      </c>
      <c r="L61" s="265" t="s">
        <v>162</v>
      </c>
      <c r="M61" s="206" t="s">
        <v>1769</v>
      </c>
      <c r="N61" s="206" t="s">
        <v>1769</v>
      </c>
      <c r="O61" s="208" t="s">
        <v>1769</v>
      </c>
      <c r="P61" s="209" t="s">
        <v>400</v>
      </c>
      <c r="Q61" s="205" t="s">
        <v>401</v>
      </c>
      <c r="R61" s="211" t="s">
        <v>585</v>
      </c>
      <c r="S61" s="205" t="s">
        <v>1175</v>
      </c>
      <c r="T61" s="210" t="s">
        <v>1312</v>
      </c>
      <c r="U61" s="206" t="s">
        <v>1769</v>
      </c>
      <c r="V61" s="206" t="s">
        <v>1769</v>
      </c>
      <c r="W61" s="205" t="s">
        <v>1769</v>
      </c>
      <c r="X61" s="205" t="s">
        <v>1769</v>
      </c>
      <c r="Y61" s="208"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row>
    <row r="62" spans="1:36">
      <c r="A62" s="205">
        <v>1380</v>
      </c>
      <c r="B62" s="205" t="s">
        <v>1430</v>
      </c>
      <c r="C62" s="253" t="s">
        <v>1206</v>
      </c>
      <c r="D62" s="206" t="str">
        <f t="shared" si="1"/>
        <v>三河100き1380</v>
      </c>
      <c r="E62" s="205" t="s">
        <v>1431</v>
      </c>
      <c r="F62" s="205" t="s">
        <v>1432</v>
      </c>
      <c r="G62" s="205" t="s">
        <v>1772</v>
      </c>
      <c r="H62" s="206" t="s">
        <v>556</v>
      </c>
      <c r="I62" s="205" t="s">
        <v>1319</v>
      </c>
      <c r="J62" s="205" t="s">
        <v>1233</v>
      </c>
      <c r="K62" s="205" t="s">
        <v>1769</v>
      </c>
      <c r="L62" s="206" t="s">
        <v>162</v>
      </c>
      <c r="M62" s="205" t="s">
        <v>1769</v>
      </c>
      <c r="N62" s="205" t="s">
        <v>1769</v>
      </c>
      <c r="O62" s="212" t="s">
        <v>1769</v>
      </c>
      <c r="P62" s="205" t="s">
        <v>1224</v>
      </c>
      <c r="Q62" s="205" t="s">
        <v>1205</v>
      </c>
      <c r="R62" s="205" t="s">
        <v>1769</v>
      </c>
      <c r="S62" s="205" t="s">
        <v>1175</v>
      </c>
      <c r="T62" s="205" t="s">
        <v>1769</v>
      </c>
      <c r="U62" s="205" t="s">
        <v>1769</v>
      </c>
      <c r="V62" s="205" t="s">
        <v>1769</v>
      </c>
      <c r="W62" s="205" t="s">
        <v>1769</v>
      </c>
      <c r="X62" s="205" t="s">
        <v>1769</v>
      </c>
      <c r="Y62" s="212"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row>
    <row r="63" spans="1:36" ht="22.5">
      <c r="A63" s="205">
        <v>1395</v>
      </c>
      <c r="B63" s="205" t="s">
        <v>1430</v>
      </c>
      <c r="C63" s="253" t="s">
        <v>1206</v>
      </c>
      <c r="D63" s="206" t="str">
        <f t="shared" si="1"/>
        <v>三河100き1395</v>
      </c>
      <c r="E63" s="205" t="s">
        <v>1433</v>
      </c>
      <c r="F63" s="205" t="s">
        <v>1402</v>
      </c>
      <c r="G63" s="205" t="s">
        <v>1772</v>
      </c>
      <c r="H63" s="206" t="s">
        <v>562</v>
      </c>
      <c r="I63" s="207" t="s">
        <v>1434</v>
      </c>
      <c r="J63" s="207" t="s">
        <v>1435</v>
      </c>
      <c r="K63" s="205" t="s">
        <v>1769</v>
      </c>
      <c r="L63" s="206" t="s">
        <v>162</v>
      </c>
      <c r="M63" s="206" t="s">
        <v>1776</v>
      </c>
      <c r="N63" s="181">
        <v>42547</v>
      </c>
      <c r="O63" s="212">
        <v>205485</v>
      </c>
      <c r="P63" s="205" t="s">
        <v>1224</v>
      </c>
      <c r="Q63" s="205" t="s">
        <v>1205</v>
      </c>
      <c r="R63" s="213">
        <v>5098</v>
      </c>
      <c r="S63" s="205" t="s">
        <v>1175</v>
      </c>
      <c r="T63" s="205" t="s">
        <v>1769</v>
      </c>
      <c r="U63" s="205" t="s">
        <v>1769</v>
      </c>
      <c r="V63" s="205" t="s">
        <v>1769</v>
      </c>
      <c r="W63" s="205" t="s">
        <v>1769</v>
      </c>
      <c r="X63" s="205" t="s">
        <v>1769</v>
      </c>
      <c r="Y63" s="212"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row>
    <row r="64" spans="1:36">
      <c r="A64" s="205">
        <v>1634</v>
      </c>
      <c r="B64" s="205" t="s">
        <v>1430</v>
      </c>
      <c r="C64" s="253" t="s">
        <v>1206</v>
      </c>
      <c r="D64" s="206" t="str">
        <f t="shared" si="1"/>
        <v>三河100き1634</v>
      </c>
      <c r="E64" s="205" t="s">
        <v>1436</v>
      </c>
      <c r="F64" s="205" t="s">
        <v>1437</v>
      </c>
      <c r="G64" s="205" t="s">
        <v>1237</v>
      </c>
      <c r="H64" s="209" t="s">
        <v>463</v>
      </c>
      <c r="I64" s="205" t="s">
        <v>1438</v>
      </c>
      <c r="J64" s="205" t="s">
        <v>1439</v>
      </c>
      <c r="K64" s="205" t="s">
        <v>1769</v>
      </c>
      <c r="L64" s="206" t="s">
        <v>162</v>
      </c>
      <c r="M64" s="206" t="s">
        <v>1776</v>
      </c>
      <c r="N64" s="181">
        <v>42730</v>
      </c>
      <c r="O64" s="212">
        <v>160440</v>
      </c>
      <c r="P64" s="205" t="s">
        <v>1224</v>
      </c>
      <c r="Q64" s="205" t="s">
        <v>1205</v>
      </c>
      <c r="R64" s="205" t="s">
        <v>1769</v>
      </c>
      <c r="S64" s="205" t="s">
        <v>1175</v>
      </c>
      <c r="T64" s="205" t="s">
        <v>1769</v>
      </c>
      <c r="U64" s="205" t="s">
        <v>1769</v>
      </c>
      <c r="V64" s="205" t="s">
        <v>1769</v>
      </c>
      <c r="W64" s="205" t="s">
        <v>1769</v>
      </c>
      <c r="X64" s="205" t="s">
        <v>1769</v>
      </c>
      <c r="Y64" s="212"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row>
    <row r="65" spans="1:36" ht="22.5">
      <c r="A65" s="205">
        <v>1737</v>
      </c>
      <c r="B65" s="205" t="s">
        <v>1430</v>
      </c>
      <c r="C65" s="253" t="s">
        <v>1206</v>
      </c>
      <c r="D65" s="206" t="str">
        <f t="shared" si="1"/>
        <v>三河100き1737</v>
      </c>
      <c r="E65" s="205" t="s">
        <v>1388</v>
      </c>
      <c r="F65" s="205" t="s">
        <v>769</v>
      </c>
      <c r="G65" s="205" t="s">
        <v>1772</v>
      </c>
      <c r="H65" s="209" t="s">
        <v>595</v>
      </c>
      <c r="I65" s="207" t="s">
        <v>1440</v>
      </c>
      <c r="J65" s="207" t="s">
        <v>1441</v>
      </c>
      <c r="K65" s="205" t="s">
        <v>1769</v>
      </c>
      <c r="L65" s="206" t="s">
        <v>162</v>
      </c>
      <c r="M65" s="206" t="s">
        <v>1776</v>
      </c>
      <c r="N65" s="181">
        <v>43672</v>
      </c>
      <c r="O65" s="212">
        <v>133380</v>
      </c>
      <c r="P65" s="205" t="s">
        <v>1224</v>
      </c>
      <c r="Q65" s="205" t="s">
        <v>1205</v>
      </c>
      <c r="R65" s="213">
        <v>5098</v>
      </c>
      <c r="S65" s="205" t="s">
        <v>1175</v>
      </c>
      <c r="T65" s="205" t="s">
        <v>1769</v>
      </c>
      <c r="U65" s="205" t="s">
        <v>1769</v>
      </c>
      <c r="V65" s="205" t="s">
        <v>1769</v>
      </c>
      <c r="W65" s="205" t="s">
        <v>1769</v>
      </c>
      <c r="X65" s="205" t="s">
        <v>1769</v>
      </c>
      <c r="Y65" s="212"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row>
    <row r="66" spans="1:36" ht="22.5">
      <c r="A66" s="210">
        <v>1806</v>
      </c>
      <c r="B66" s="209" t="s">
        <v>1814</v>
      </c>
      <c r="C66" s="253" t="s">
        <v>1446</v>
      </c>
      <c r="D66" s="206" t="str">
        <f t="shared" ref="D66:D97" si="2">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08" t="s">
        <v>1769</v>
      </c>
      <c r="P66" s="209" t="s">
        <v>1224</v>
      </c>
      <c r="Q66" s="205" t="s">
        <v>1205</v>
      </c>
      <c r="R66" s="211" t="s">
        <v>405</v>
      </c>
      <c r="S66" s="205" t="s">
        <v>1175</v>
      </c>
      <c r="T66" s="210" t="s">
        <v>1312</v>
      </c>
      <c r="U66" s="206" t="s">
        <v>1769</v>
      </c>
      <c r="V66" s="206" t="s">
        <v>1769</v>
      </c>
      <c r="W66" s="205" t="s">
        <v>1769</v>
      </c>
      <c r="X66" s="205" t="s">
        <v>1769</v>
      </c>
      <c r="Y66" s="208"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row>
    <row r="67" spans="1:36">
      <c r="A67" s="209">
        <v>1807</v>
      </c>
      <c r="B67" s="209" t="s">
        <v>1442</v>
      </c>
      <c r="C67" s="253" t="s">
        <v>1448</v>
      </c>
      <c r="D67" s="206" t="str">
        <f t="shared" si="2"/>
        <v>三河100き1807</v>
      </c>
      <c r="E67" s="210" t="s">
        <v>1246</v>
      </c>
      <c r="F67" s="209" t="s">
        <v>614</v>
      </c>
      <c r="G67" s="210" t="s">
        <v>1772</v>
      </c>
      <c r="H67" s="209" t="s">
        <v>615</v>
      </c>
      <c r="I67" s="210" t="s">
        <v>1447</v>
      </c>
      <c r="J67" s="210" t="s">
        <v>1233</v>
      </c>
      <c r="K67" s="210" t="s">
        <v>178</v>
      </c>
      <c r="L67" s="265" t="s">
        <v>162</v>
      </c>
      <c r="M67" s="206" t="s">
        <v>1769</v>
      </c>
      <c r="N67" s="206" t="s">
        <v>1769</v>
      </c>
      <c r="O67" s="208" t="s">
        <v>1769</v>
      </c>
      <c r="P67" s="209" t="s">
        <v>1224</v>
      </c>
      <c r="Q67" s="205" t="s">
        <v>1205</v>
      </c>
      <c r="R67" s="211" t="s">
        <v>1769</v>
      </c>
      <c r="S67" s="205" t="s">
        <v>1175</v>
      </c>
      <c r="T67" s="210" t="s">
        <v>1312</v>
      </c>
      <c r="U67" s="206" t="s">
        <v>1769</v>
      </c>
      <c r="V67" s="206" t="s">
        <v>1769</v>
      </c>
      <c r="W67" s="205" t="s">
        <v>1769</v>
      </c>
      <c r="X67" s="205" t="s">
        <v>1769</v>
      </c>
      <c r="Y67" s="208"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row>
    <row r="68" spans="1:36" ht="22.5">
      <c r="A68" s="205">
        <v>1827</v>
      </c>
      <c r="B68" s="205" t="s">
        <v>1430</v>
      </c>
      <c r="C68" s="253" t="s">
        <v>1206</v>
      </c>
      <c r="D68" s="206" t="str">
        <f t="shared" si="2"/>
        <v>三河100き1827</v>
      </c>
      <c r="E68" s="205" t="s">
        <v>1415</v>
      </c>
      <c r="F68" s="205" t="s">
        <v>619</v>
      </c>
      <c r="G68" s="205" t="s">
        <v>1234</v>
      </c>
      <c r="H68" s="209" t="s">
        <v>620</v>
      </c>
      <c r="I68" s="207" t="s">
        <v>1449</v>
      </c>
      <c r="J68" s="207" t="s">
        <v>1450</v>
      </c>
      <c r="K68" s="205" t="s">
        <v>1769</v>
      </c>
      <c r="L68" s="206" t="s">
        <v>162</v>
      </c>
      <c r="M68" s="205" t="s">
        <v>1769</v>
      </c>
      <c r="N68" s="205" t="s">
        <v>1769</v>
      </c>
      <c r="O68" s="212" t="s">
        <v>1769</v>
      </c>
      <c r="P68" s="205" t="s">
        <v>1224</v>
      </c>
      <c r="Q68" s="205" t="s">
        <v>1205</v>
      </c>
      <c r="R68" s="213">
        <v>4005056</v>
      </c>
      <c r="S68" s="205" t="s">
        <v>1175</v>
      </c>
      <c r="T68" s="205" t="s">
        <v>1769</v>
      </c>
      <c r="U68" s="205" t="s">
        <v>1769</v>
      </c>
      <c r="V68" s="205" t="s">
        <v>1769</v>
      </c>
      <c r="W68" s="205" t="s">
        <v>1769</v>
      </c>
      <c r="X68" s="205" t="s">
        <v>1769</v>
      </c>
      <c r="Y68" s="212"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row>
    <row r="69" spans="1:36">
      <c r="A69" s="209">
        <v>247</v>
      </c>
      <c r="B69" s="209" t="s">
        <v>1442</v>
      </c>
      <c r="C69" s="253" t="s">
        <v>1206</v>
      </c>
      <c r="D69" s="206" t="str">
        <f t="shared" si="2"/>
        <v>三河100き247</v>
      </c>
      <c r="E69" s="210" t="s">
        <v>1451</v>
      </c>
      <c r="F69" s="209" t="s">
        <v>530</v>
      </c>
      <c r="G69" s="210" t="s">
        <v>1266</v>
      </c>
      <c r="H69" s="209" t="s">
        <v>190</v>
      </c>
      <c r="I69" s="210" t="s">
        <v>1452</v>
      </c>
      <c r="J69" s="210" t="s">
        <v>1453</v>
      </c>
      <c r="K69" s="210" t="s">
        <v>174</v>
      </c>
      <c r="L69" s="265" t="s">
        <v>162</v>
      </c>
      <c r="M69" s="206" t="s">
        <v>1769</v>
      </c>
      <c r="N69" s="206" t="s">
        <v>1769</v>
      </c>
      <c r="O69" s="208" t="s">
        <v>1769</v>
      </c>
      <c r="P69" s="209" t="s">
        <v>1224</v>
      </c>
      <c r="Q69" s="205" t="s">
        <v>1205</v>
      </c>
      <c r="R69" s="211" t="s">
        <v>1769</v>
      </c>
      <c r="S69" s="205" t="s">
        <v>1175</v>
      </c>
      <c r="T69" s="210" t="s">
        <v>1425</v>
      </c>
      <c r="U69" s="206" t="s">
        <v>1769</v>
      </c>
      <c r="V69" s="206" t="s">
        <v>1769</v>
      </c>
      <c r="W69" s="205" t="s">
        <v>1769</v>
      </c>
      <c r="X69" s="205" t="s">
        <v>1769</v>
      </c>
      <c r="Y69" s="208"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row>
    <row r="70" spans="1:36">
      <c r="A70" s="209">
        <v>575</v>
      </c>
      <c r="B70" s="209" t="s">
        <v>1442</v>
      </c>
      <c r="C70" s="253" t="s">
        <v>1206</v>
      </c>
      <c r="D70" s="206" t="str">
        <f t="shared" si="2"/>
        <v>三河100き575</v>
      </c>
      <c r="E70" s="210" t="s">
        <v>1454</v>
      </c>
      <c r="F70" s="209" t="s">
        <v>534</v>
      </c>
      <c r="G70" s="210" t="s">
        <v>1266</v>
      </c>
      <c r="H70" s="209" t="s">
        <v>535</v>
      </c>
      <c r="I70" s="210" t="s">
        <v>1455</v>
      </c>
      <c r="J70" s="210" t="s">
        <v>1456</v>
      </c>
      <c r="K70" s="210" t="s">
        <v>176</v>
      </c>
      <c r="L70" s="265" t="s">
        <v>162</v>
      </c>
      <c r="M70" s="206" t="s">
        <v>1769</v>
      </c>
      <c r="N70" s="206" t="s">
        <v>1769</v>
      </c>
      <c r="O70" s="208" t="s">
        <v>1769</v>
      </c>
      <c r="P70" s="209" t="s">
        <v>1224</v>
      </c>
      <c r="Q70" s="205" t="s">
        <v>1205</v>
      </c>
      <c r="R70" s="211" t="s">
        <v>1769</v>
      </c>
      <c r="S70" s="205" t="s">
        <v>1175</v>
      </c>
      <c r="T70" s="210" t="s">
        <v>1425</v>
      </c>
      <c r="U70" s="206" t="s">
        <v>1769</v>
      </c>
      <c r="V70" s="206" t="s">
        <v>1769</v>
      </c>
      <c r="W70" s="205" t="s">
        <v>1769</v>
      </c>
      <c r="X70" s="205" t="s">
        <v>1769</v>
      </c>
      <c r="Y70" s="208"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row>
    <row r="71" spans="1:36">
      <c r="A71" s="209">
        <v>576</v>
      </c>
      <c r="B71" s="209" t="s">
        <v>1442</v>
      </c>
      <c r="C71" s="253" t="s">
        <v>1206</v>
      </c>
      <c r="D71" s="206" t="str">
        <f t="shared" si="2"/>
        <v>三河100き576</v>
      </c>
      <c r="E71" s="210" t="s">
        <v>1454</v>
      </c>
      <c r="F71" s="209" t="s">
        <v>538</v>
      </c>
      <c r="G71" s="210" t="s">
        <v>775</v>
      </c>
      <c r="H71" s="209" t="s">
        <v>539</v>
      </c>
      <c r="I71" s="210" t="s">
        <v>1352</v>
      </c>
      <c r="J71" s="210" t="s">
        <v>1349</v>
      </c>
      <c r="K71" s="210" t="s">
        <v>176</v>
      </c>
      <c r="L71" s="265" t="s">
        <v>162</v>
      </c>
      <c r="M71" s="206" t="s">
        <v>1769</v>
      </c>
      <c r="N71" s="206" t="s">
        <v>1769</v>
      </c>
      <c r="O71" s="208" t="s">
        <v>1769</v>
      </c>
      <c r="P71" s="209" t="s">
        <v>1224</v>
      </c>
      <c r="Q71" s="205" t="s">
        <v>1205</v>
      </c>
      <c r="R71" s="211" t="s">
        <v>1769</v>
      </c>
      <c r="S71" s="205" t="s">
        <v>1175</v>
      </c>
      <c r="T71" s="210" t="s">
        <v>1226</v>
      </c>
      <c r="U71" s="206" t="s">
        <v>1769</v>
      </c>
      <c r="V71" s="206" t="s">
        <v>1769</v>
      </c>
      <c r="W71" s="205" t="s">
        <v>1769</v>
      </c>
      <c r="X71" s="205" t="s">
        <v>1769</v>
      </c>
      <c r="Y71" s="208"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row>
    <row r="72" spans="1:36">
      <c r="A72" s="209">
        <v>579</v>
      </c>
      <c r="B72" s="209" t="s">
        <v>1442</v>
      </c>
      <c r="C72" s="253" t="s">
        <v>1206</v>
      </c>
      <c r="D72" s="206" t="str">
        <f t="shared" si="2"/>
        <v>三河100き579</v>
      </c>
      <c r="E72" s="210" t="s">
        <v>1454</v>
      </c>
      <c r="F72" s="209" t="s">
        <v>534</v>
      </c>
      <c r="G72" s="210" t="s">
        <v>1266</v>
      </c>
      <c r="H72" s="209" t="s">
        <v>542</v>
      </c>
      <c r="I72" s="210" t="s">
        <v>1455</v>
      </c>
      <c r="J72" s="210" t="s">
        <v>1456</v>
      </c>
      <c r="K72" s="210" t="s">
        <v>176</v>
      </c>
      <c r="L72" s="265" t="s">
        <v>162</v>
      </c>
      <c r="M72" s="206" t="s">
        <v>1769</v>
      </c>
      <c r="N72" s="206" t="s">
        <v>1769</v>
      </c>
      <c r="O72" s="208" t="s">
        <v>1769</v>
      </c>
      <c r="P72" s="209" t="s">
        <v>1224</v>
      </c>
      <c r="Q72" s="205" t="s">
        <v>1205</v>
      </c>
      <c r="R72" s="211" t="s">
        <v>1769</v>
      </c>
      <c r="S72" s="205" t="s">
        <v>1175</v>
      </c>
      <c r="T72" s="210" t="s">
        <v>1425</v>
      </c>
      <c r="U72" s="206" t="s">
        <v>1769</v>
      </c>
      <c r="V72" s="206" t="s">
        <v>1769</v>
      </c>
      <c r="W72" s="205" t="s">
        <v>1769</v>
      </c>
      <c r="X72" s="205" t="s">
        <v>1769</v>
      </c>
      <c r="Y72" s="208"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row>
    <row r="73" spans="1:36">
      <c r="A73" s="209">
        <v>581</v>
      </c>
      <c r="B73" s="209" t="s">
        <v>1442</v>
      </c>
      <c r="C73" s="253" t="s">
        <v>1206</v>
      </c>
      <c r="D73" s="206" t="str">
        <f t="shared" si="2"/>
        <v>三河100き581</v>
      </c>
      <c r="E73" s="210" t="s">
        <v>1451</v>
      </c>
      <c r="F73" s="209" t="s">
        <v>534</v>
      </c>
      <c r="G73" s="210" t="s">
        <v>1266</v>
      </c>
      <c r="H73" s="209" t="s">
        <v>543</v>
      </c>
      <c r="I73" s="210" t="s">
        <v>1457</v>
      </c>
      <c r="J73" s="210" t="s">
        <v>1344</v>
      </c>
      <c r="K73" s="263" t="s">
        <v>177</v>
      </c>
      <c r="L73" s="265" t="s">
        <v>162</v>
      </c>
      <c r="M73" s="206" t="s">
        <v>1769</v>
      </c>
      <c r="N73" s="206" t="s">
        <v>1769</v>
      </c>
      <c r="O73" s="208" t="s">
        <v>1769</v>
      </c>
      <c r="P73" s="209" t="s">
        <v>1224</v>
      </c>
      <c r="Q73" s="205" t="s">
        <v>1205</v>
      </c>
      <c r="R73" s="211" t="s">
        <v>1769</v>
      </c>
      <c r="S73" s="205" t="s">
        <v>1175</v>
      </c>
      <c r="T73" s="210" t="s">
        <v>1425</v>
      </c>
      <c r="U73" s="206" t="s">
        <v>1769</v>
      </c>
      <c r="V73" s="206" t="s">
        <v>1769</v>
      </c>
      <c r="W73" s="205" t="s">
        <v>1769</v>
      </c>
      <c r="X73" s="205" t="s">
        <v>1769</v>
      </c>
      <c r="Y73" s="208"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row>
    <row r="74" spans="1:36">
      <c r="A74" s="206">
        <v>869</v>
      </c>
      <c r="B74" s="206" t="s">
        <v>1430</v>
      </c>
      <c r="C74" s="253" t="s">
        <v>1206</v>
      </c>
      <c r="D74" s="206" t="str">
        <f t="shared" si="2"/>
        <v>三河100き869</v>
      </c>
      <c r="E74" s="205" t="s">
        <v>362</v>
      </c>
      <c r="F74" s="206" t="s">
        <v>546</v>
      </c>
      <c r="G74" s="206" t="s">
        <v>361</v>
      </c>
      <c r="H74" s="206" t="s">
        <v>547</v>
      </c>
      <c r="I74" s="206" t="s">
        <v>1769</v>
      </c>
      <c r="J74" s="206" t="s">
        <v>1769</v>
      </c>
      <c r="K74" s="206" t="s">
        <v>363</v>
      </c>
      <c r="L74" s="206" t="s">
        <v>162</v>
      </c>
      <c r="M74" s="206" t="s">
        <v>1773</v>
      </c>
      <c r="N74" s="181">
        <v>41981</v>
      </c>
      <c r="O74" s="208">
        <v>142590</v>
      </c>
      <c r="P74" s="209" t="s">
        <v>400</v>
      </c>
      <c r="Q74" s="205" t="s">
        <v>401</v>
      </c>
      <c r="R74" s="211" t="s">
        <v>1769</v>
      </c>
      <c r="S74" s="205" t="s">
        <v>1175</v>
      </c>
      <c r="T74" s="205" t="s">
        <v>1425</v>
      </c>
      <c r="U74" s="206" t="s">
        <v>1769</v>
      </c>
      <c r="V74" s="206" t="s">
        <v>1769</v>
      </c>
      <c r="W74" s="205" t="s">
        <v>1769</v>
      </c>
      <c r="X74" s="205" t="s">
        <v>1769</v>
      </c>
      <c r="Y74" s="208"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row>
    <row r="75" spans="1:36">
      <c r="A75" s="205">
        <v>3917</v>
      </c>
      <c r="B75" s="205" t="s">
        <v>1489</v>
      </c>
      <c r="C75" s="253" t="s">
        <v>1206</v>
      </c>
      <c r="D75" s="206" t="str">
        <f t="shared" si="2"/>
        <v>三河100は3917</v>
      </c>
      <c r="E75" s="205" t="s">
        <v>1478</v>
      </c>
      <c r="F75" s="205" t="s">
        <v>1475</v>
      </c>
      <c r="G75" s="205" t="s">
        <v>1234</v>
      </c>
      <c r="H75" s="206" t="s">
        <v>938</v>
      </c>
      <c r="I75" s="205" t="s">
        <v>1348</v>
      </c>
      <c r="J75" s="205" t="s">
        <v>1453</v>
      </c>
      <c r="K75" s="205" t="s">
        <v>1769</v>
      </c>
      <c r="L75" s="205" t="s">
        <v>287</v>
      </c>
      <c r="M75" s="205" t="s">
        <v>1781</v>
      </c>
      <c r="N75" s="182">
        <v>43401</v>
      </c>
      <c r="O75" s="212">
        <v>207375</v>
      </c>
      <c r="P75" s="205" t="s">
        <v>1224</v>
      </c>
      <c r="Q75" s="205" t="s">
        <v>1205</v>
      </c>
      <c r="R75" s="205" t="s">
        <v>1490</v>
      </c>
      <c r="S75" s="205" t="s">
        <v>1182</v>
      </c>
      <c r="T75" s="205" t="s">
        <v>1769</v>
      </c>
      <c r="U75" s="205" t="s">
        <v>1769</v>
      </c>
      <c r="V75" s="205" t="s">
        <v>1769</v>
      </c>
      <c r="W75" s="205" t="s">
        <v>1769</v>
      </c>
      <c r="X75" s="205" t="s">
        <v>1769</v>
      </c>
      <c r="Y75" s="212" t="s">
        <v>1769</v>
      </c>
      <c r="Z75" s="205" t="s">
        <v>1735</v>
      </c>
      <c r="AA75" s="205" t="s">
        <v>1769</v>
      </c>
      <c r="AB75" s="205" t="s">
        <v>254</v>
      </c>
      <c r="AC75" s="205" t="s">
        <v>294</v>
      </c>
      <c r="AD75" s="205" t="s">
        <v>1495</v>
      </c>
      <c r="AE75" s="246" t="s">
        <v>1769</v>
      </c>
      <c r="AF75" s="246" t="s">
        <v>1769</v>
      </c>
      <c r="AG75" s="246">
        <v>47900</v>
      </c>
      <c r="AH75" s="246" t="s">
        <v>1769</v>
      </c>
      <c r="AI75" s="246" t="s">
        <v>1769</v>
      </c>
      <c r="AJ75" s="246" t="s">
        <v>1769</v>
      </c>
    </row>
    <row r="76" spans="1:36">
      <c r="A76" s="205">
        <v>3922</v>
      </c>
      <c r="B76" s="205" t="s">
        <v>1489</v>
      </c>
      <c r="C76" s="253" t="s">
        <v>1206</v>
      </c>
      <c r="D76" s="206" t="str">
        <f t="shared" si="2"/>
        <v>三河100は3922</v>
      </c>
      <c r="E76" s="205" t="s">
        <v>1482</v>
      </c>
      <c r="F76" s="205" t="s">
        <v>1475</v>
      </c>
      <c r="G76" s="205" t="s">
        <v>1234</v>
      </c>
      <c r="H76" s="206" t="s">
        <v>957</v>
      </c>
      <c r="I76" s="205" t="s">
        <v>1452</v>
      </c>
      <c r="J76" s="205" t="s">
        <v>1453</v>
      </c>
      <c r="K76" s="205" t="s">
        <v>1769</v>
      </c>
      <c r="L76" s="205" t="s">
        <v>287</v>
      </c>
      <c r="M76" s="205" t="s">
        <v>1781</v>
      </c>
      <c r="N76" s="182">
        <v>43430</v>
      </c>
      <c r="O76" s="212">
        <v>207375</v>
      </c>
      <c r="P76" s="205" t="s">
        <v>1224</v>
      </c>
      <c r="Q76" s="205" t="s">
        <v>1205</v>
      </c>
      <c r="R76" s="205" t="s">
        <v>1491</v>
      </c>
      <c r="S76" s="205" t="s">
        <v>1182</v>
      </c>
      <c r="T76" s="205" t="s">
        <v>1769</v>
      </c>
      <c r="U76" s="205" t="s">
        <v>1769</v>
      </c>
      <c r="V76" s="205" t="s">
        <v>1769</v>
      </c>
      <c r="W76" s="205" t="s">
        <v>1769</v>
      </c>
      <c r="X76" s="205" t="s">
        <v>1769</v>
      </c>
      <c r="Y76" s="212" t="s">
        <v>1769</v>
      </c>
      <c r="Z76" s="205" t="s">
        <v>1735</v>
      </c>
      <c r="AA76" s="205" t="s">
        <v>1769</v>
      </c>
      <c r="AB76" s="205" t="s">
        <v>254</v>
      </c>
      <c r="AC76" s="205" t="s">
        <v>294</v>
      </c>
      <c r="AD76" s="205" t="s">
        <v>1495</v>
      </c>
      <c r="AE76" s="246" t="s">
        <v>1769</v>
      </c>
      <c r="AF76" s="246" t="s">
        <v>1769</v>
      </c>
      <c r="AG76" s="246" t="s">
        <v>1769</v>
      </c>
      <c r="AH76" s="246" t="s">
        <v>1769</v>
      </c>
      <c r="AI76" s="246" t="s">
        <v>1769</v>
      </c>
      <c r="AJ76" s="246" t="s">
        <v>1769</v>
      </c>
    </row>
    <row r="77" spans="1:36">
      <c r="A77" s="206">
        <v>2479</v>
      </c>
      <c r="B77" s="206" t="s">
        <v>1458</v>
      </c>
      <c r="C77" s="253" t="s">
        <v>1206</v>
      </c>
      <c r="D77" s="206" t="str">
        <f t="shared" si="2"/>
        <v>三河11え2479</v>
      </c>
      <c r="E77" s="205" t="s">
        <v>1459</v>
      </c>
      <c r="F77" s="206" t="s">
        <v>566</v>
      </c>
      <c r="G77" s="206" t="s">
        <v>1787</v>
      </c>
      <c r="H77" s="206" t="s">
        <v>330</v>
      </c>
      <c r="I77" s="206" t="s">
        <v>1460</v>
      </c>
      <c r="J77" s="206" t="s">
        <v>1461</v>
      </c>
      <c r="K77" s="206" t="s">
        <v>351</v>
      </c>
      <c r="L77" s="265" t="s">
        <v>162</v>
      </c>
      <c r="M77" s="206" t="s">
        <v>1769</v>
      </c>
      <c r="N77" s="206" t="s">
        <v>1769</v>
      </c>
      <c r="O77" s="208" t="s">
        <v>1769</v>
      </c>
      <c r="P77" s="209" t="s">
        <v>1224</v>
      </c>
      <c r="Q77" s="205" t="s">
        <v>1769</v>
      </c>
      <c r="R77" s="211" t="s">
        <v>570</v>
      </c>
      <c r="S77" s="205" t="s">
        <v>1175</v>
      </c>
      <c r="T77" s="210" t="s">
        <v>1769</v>
      </c>
      <c r="U77" s="206" t="s">
        <v>1769</v>
      </c>
      <c r="V77" s="206" t="s">
        <v>1769</v>
      </c>
      <c r="W77" s="205" t="s">
        <v>1769</v>
      </c>
      <c r="X77" s="205" t="s">
        <v>1769</v>
      </c>
      <c r="Y77" s="208"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row>
    <row r="78" spans="1:36">
      <c r="A78" s="206">
        <v>1155</v>
      </c>
      <c r="B78" s="206" t="s">
        <v>1166</v>
      </c>
      <c r="C78" s="253" t="s">
        <v>1762</v>
      </c>
      <c r="D78" s="206" t="str">
        <f t="shared" si="2"/>
        <v>三河300る1155</v>
      </c>
      <c r="E78" s="206" t="s">
        <v>1293</v>
      </c>
      <c r="F78" s="206" t="s">
        <v>1120</v>
      </c>
      <c r="G78" s="206" t="s">
        <v>1075</v>
      </c>
      <c r="H78" s="206" t="s">
        <v>1121</v>
      </c>
      <c r="I78" s="205" t="s">
        <v>1769</v>
      </c>
      <c r="J78" s="205" t="s">
        <v>1769</v>
      </c>
      <c r="K78" s="206" t="s">
        <v>1064</v>
      </c>
      <c r="L78" s="205" t="s">
        <v>287</v>
      </c>
      <c r="M78" s="206" t="s">
        <v>1788</v>
      </c>
      <c r="N78" s="205" t="s">
        <v>1769</v>
      </c>
      <c r="O78" s="220" t="s">
        <v>1769</v>
      </c>
      <c r="P78" s="206" t="s">
        <v>400</v>
      </c>
      <c r="Q78" s="205" t="s">
        <v>1769</v>
      </c>
      <c r="R78" s="205" t="s">
        <v>1769</v>
      </c>
      <c r="S78" s="205" t="s">
        <v>1183</v>
      </c>
      <c r="T78" s="206" t="s">
        <v>1769</v>
      </c>
      <c r="U78" s="205" t="s">
        <v>1769</v>
      </c>
      <c r="V78" s="205" t="s">
        <v>1769</v>
      </c>
      <c r="W78" s="205" t="s">
        <v>1769</v>
      </c>
      <c r="X78" s="205" t="s">
        <v>1769</v>
      </c>
      <c r="Y78" s="221"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row>
    <row r="79" spans="1:36">
      <c r="A79" s="206">
        <v>4282</v>
      </c>
      <c r="B79" s="206" t="s">
        <v>1168</v>
      </c>
      <c r="C79" s="253" t="s">
        <v>1762</v>
      </c>
      <c r="D79" s="206" t="str">
        <f t="shared" si="2"/>
        <v>三河301め4282</v>
      </c>
      <c r="E79" s="206" t="s">
        <v>1127</v>
      </c>
      <c r="F79" s="206" t="s">
        <v>1128</v>
      </c>
      <c r="G79" s="206" t="s">
        <v>1129</v>
      </c>
      <c r="H79" s="206" t="s">
        <v>1130</v>
      </c>
      <c r="I79" s="205" t="s">
        <v>1769</v>
      </c>
      <c r="J79" s="205" t="s">
        <v>1769</v>
      </c>
      <c r="K79" s="206" t="s">
        <v>1064</v>
      </c>
      <c r="L79" s="205" t="s">
        <v>287</v>
      </c>
      <c r="M79" s="206" t="s">
        <v>1132</v>
      </c>
      <c r="N79" s="205" t="s">
        <v>1769</v>
      </c>
      <c r="O79" s="220" t="s">
        <v>1769</v>
      </c>
      <c r="P79" s="206" t="s">
        <v>400</v>
      </c>
      <c r="Q79" s="205" t="s">
        <v>1769</v>
      </c>
      <c r="R79" s="205" t="s">
        <v>1769</v>
      </c>
      <c r="S79" s="205" t="s">
        <v>1183</v>
      </c>
      <c r="T79" s="206" t="s">
        <v>1769</v>
      </c>
      <c r="U79" s="205" t="s">
        <v>1769</v>
      </c>
      <c r="V79" s="205" t="s">
        <v>1769</v>
      </c>
      <c r="W79" s="205" t="s">
        <v>1769</v>
      </c>
      <c r="X79" s="205" t="s">
        <v>1769</v>
      </c>
      <c r="Y79" s="221"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row>
    <row r="80" spans="1:36" ht="22.5">
      <c r="A80" s="205">
        <v>1922</v>
      </c>
      <c r="B80" s="206" t="s">
        <v>1150</v>
      </c>
      <c r="C80" s="253" t="s">
        <v>1206</v>
      </c>
      <c r="D80" s="206" t="str">
        <f t="shared" si="2"/>
        <v>三河301も1922</v>
      </c>
      <c r="E80" s="206" t="s">
        <v>1231</v>
      </c>
      <c r="F80" s="206" t="s">
        <v>1056</v>
      </c>
      <c r="G80" s="206" t="s">
        <v>1328</v>
      </c>
      <c r="H80" s="96" t="s">
        <v>1666</v>
      </c>
      <c r="I80" s="205" t="s">
        <v>1769</v>
      </c>
      <c r="J80" s="205" t="s">
        <v>1769</v>
      </c>
      <c r="K80" s="206" t="s">
        <v>1789</v>
      </c>
      <c r="L80" s="206" t="s">
        <v>162</v>
      </c>
      <c r="M80" s="206" t="s">
        <v>1051</v>
      </c>
      <c r="N80" s="205" t="s">
        <v>1769</v>
      </c>
      <c r="O80" s="220" t="s">
        <v>1769</v>
      </c>
      <c r="P80" s="206" t="s">
        <v>400</v>
      </c>
      <c r="Q80" s="205" t="s">
        <v>1769</v>
      </c>
      <c r="R80" s="205" t="s">
        <v>1769</v>
      </c>
      <c r="S80" s="205" t="s">
        <v>1184</v>
      </c>
      <c r="T80" s="205" t="s">
        <v>1769</v>
      </c>
      <c r="U80" s="205" t="s">
        <v>1769</v>
      </c>
      <c r="V80" s="205" t="s">
        <v>1769</v>
      </c>
      <c r="W80" s="205" t="s">
        <v>1769</v>
      </c>
      <c r="X80" s="205" t="s">
        <v>1769</v>
      </c>
      <c r="Y80" s="268"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row>
    <row r="81" spans="1:36" ht="22.5">
      <c r="A81" s="206">
        <v>4225</v>
      </c>
      <c r="B81" s="206" t="s">
        <v>1163</v>
      </c>
      <c r="C81" s="253" t="s">
        <v>1762</v>
      </c>
      <c r="D81" s="206" t="str">
        <f t="shared" si="2"/>
        <v>三河301や4225</v>
      </c>
      <c r="E81" s="206" t="s">
        <v>1227</v>
      </c>
      <c r="F81" s="206" t="s">
        <v>1105</v>
      </c>
      <c r="G81" s="206" t="s">
        <v>1328</v>
      </c>
      <c r="H81" s="206" t="s">
        <v>1106</v>
      </c>
      <c r="I81" s="205" t="s">
        <v>1769</v>
      </c>
      <c r="J81" s="205" t="s">
        <v>1769</v>
      </c>
      <c r="K81" s="206" t="s">
        <v>1789</v>
      </c>
      <c r="L81" s="205" t="s">
        <v>287</v>
      </c>
      <c r="M81" s="206" t="s">
        <v>1091</v>
      </c>
      <c r="N81" s="205" t="s">
        <v>1769</v>
      </c>
      <c r="O81" s="220" t="s">
        <v>1769</v>
      </c>
      <c r="P81" s="206" t="s">
        <v>400</v>
      </c>
      <c r="Q81" s="205" t="s">
        <v>1769</v>
      </c>
      <c r="R81" s="205" t="s">
        <v>1769</v>
      </c>
      <c r="S81" s="205" t="s">
        <v>1183</v>
      </c>
      <c r="T81" s="206" t="s">
        <v>1769</v>
      </c>
      <c r="U81" s="205" t="s">
        <v>1769</v>
      </c>
      <c r="V81" s="205" t="s">
        <v>1769</v>
      </c>
      <c r="W81" s="205" t="s">
        <v>1769</v>
      </c>
      <c r="X81" s="205" t="s">
        <v>1769</v>
      </c>
      <c r="Y81" s="268"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row>
    <row r="82" spans="1:36">
      <c r="A82" s="206">
        <v>6511</v>
      </c>
      <c r="B82" s="206" t="s">
        <v>1163</v>
      </c>
      <c r="C82" s="253" t="s">
        <v>1206</v>
      </c>
      <c r="D82" s="206" t="str">
        <f t="shared" si="2"/>
        <v>三河301や6511</v>
      </c>
      <c r="E82" s="206" t="s">
        <v>1101</v>
      </c>
      <c r="F82" s="206" t="s">
        <v>1102</v>
      </c>
      <c r="G82" s="206" t="s">
        <v>1331</v>
      </c>
      <c r="H82" s="206" t="s">
        <v>1103</v>
      </c>
      <c r="I82" s="205" t="s">
        <v>1769</v>
      </c>
      <c r="J82" s="205" t="s">
        <v>1769</v>
      </c>
      <c r="K82" s="206" t="s">
        <v>1789</v>
      </c>
      <c r="L82" s="205" t="s">
        <v>287</v>
      </c>
      <c r="M82" s="206" t="s">
        <v>1792</v>
      </c>
      <c r="N82" s="205" t="s">
        <v>1769</v>
      </c>
      <c r="O82" s="220" t="s">
        <v>1769</v>
      </c>
      <c r="P82" s="206" t="s">
        <v>400</v>
      </c>
      <c r="Q82" s="205" t="s">
        <v>1769</v>
      </c>
      <c r="R82" s="205" t="s">
        <v>1769</v>
      </c>
      <c r="S82" s="205" t="s">
        <v>1183</v>
      </c>
      <c r="T82" s="206" t="s">
        <v>1769</v>
      </c>
      <c r="U82" s="205" t="s">
        <v>1769</v>
      </c>
      <c r="V82" s="205" t="s">
        <v>1769</v>
      </c>
      <c r="W82" s="205" t="s">
        <v>1769</v>
      </c>
      <c r="X82" s="205" t="s">
        <v>1769</v>
      </c>
      <c r="Y82" s="221"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row>
    <row r="83" spans="1:36">
      <c r="A83" s="206">
        <v>9157</v>
      </c>
      <c r="B83" s="206" t="s">
        <v>1163</v>
      </c>
      <c r="C83" s="253" t="s">
        <v>1206</v>
      </c>
      <c r="D83" s="206" t="str">
        <f t="shared" si="2"/>
        <v>三河301や9157</v>
      </c>
      <c r="E83" s="206" t="s">
        <v>1097</v>
      </c>
      <c r="F83" s="206" t="s">
        <v>1098</v>
      </c>
      <c r="G83" s="206" t="s">
        <v>1328</v>
      </c>
      <c r="H83" s="206" t="s">
        <v>1099</v>
      </c>
      <c r="I83" s="205" t="s">
        <v>1769</v>
      </c>
      <c r="J83" s="205" t="s">
        <v>1769</v>
      </c>
      <c r="K83" s="206" t="s">
        <v>1064</v>
      </c>
      <c r="L83" s="205" t="s">
        <v>287</v>
      </c>
      <c r="M83" s="206" t="s">
        <v>1792</v>
      </c>
      <c r="N83" s="205" t="s">
        <v>1769</v>
      </c>
      <c r="O83" s="220" t="s">
        <v>1769</v>
      </c>
      <c r="P83" s="206" t="s">
        <v>400</v>
      </c>
      <c r="Q83" s="205" t="s">
        <v>1769</v>
      </c>
      <c r="R83" s="205" t="s">
        <v>1769</v>
      </c>
      <c r="S83" s="205" t="s">
        <v>1183</v>
      </c>
      <c r="T83" s="206" t="s">
        <v>1769</v>
      </c>
      <c r="U83" s="205" t="s">
        <v>1769</v>
      </c>
      <c r="V83" s="205" t="s">
        <v>1769</v>
      </c>
      <c r="W83" s="205" t="s">
        <v>1769</v>
      </c>
      <c r="X83" s="205" t="s">
        <v>1769</v>
      </c>
      <c r="Y83" s="221"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row>
    <row r="84" spans="1:36">
      <c r="A84" s="205">
        <v>2395</v>
      </c>
      <c r="B84" s="206" t="s">
        <v>1155</v>
      </c>
      <c r="C84" s="253" t="s">
        <v>1206</v>
      </c>
      <c r="D84" s="206" t="str">
        <f t="shared" si="2"/>
        <v>三河301ゆ2395</v>
      </c>
      <c r="E84" s="206" t="s">
        <v>1068</v>
      </c>
      <c r="F84" s="206" t="s">
        <v>1069</v>
      </c>
      <c r="G84" s="206" t="s">
        <v>1328</v>
      </c>
      <c r="H84" s="75" t="s">
        <v>1692</v>
      </c>
      <c r="I84" s="205" t="s">
        <v>1769</v>
      </c>
      <c r="J84" s="205" t="s">
        <v>1769</v>
      </c>
      <c r="K84" s="206" t="s">
        <v>1064</v>
      </c>
      <c r="L84" s="206" t="s">
        <v>162</v>
      </c>
      <c r="M84" s="206" t="s">
        <v>1792</v>
      </c>
      <c r="N84" s="205" t="s">
        <v>1769</v>
      </c>
      <c r="O84" s="220" t="s">
        <v>1769</v>
      </c>
      <c r="P84" s="206" t="s">
        <v>400</v>
      </c>
      <c r="Q84" s="205" t="s">
        <v>1769</v>
      </c>
      <c r="R84" s="205" t="s">
        <v>1769</v>
      </c>
      <c r="S84" s="205" t="s">
        <v>1184</v>
      </c>
      <c r="T84" s="205" t="s">
        <v>1769</v>
      </c>
      <c r="U84" s="205" t="s">
        <v>1769</v>
      </c>
      <c r="V84" s="205" t="s">
        <v>1769</v>
      </c>
      <c r="W84" s="205" t="s">
        <v>1769</v>
      </c>
      <c r="X84" s="205" t="s">
        <v>1769</v>
      </c>
      <c r="Y84" s="221"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row>
    <row r="85" spans="1:36" ht="22.5">
      <c r="A85" s="205">
        <v>2474</v>
      </c>
      <c r="B85" s="206" t="s">
        <v>1155</v>
      </c>
      <c r="C85" s="253" t="s">
        <v>1206</v>
      </c>
      <c r="D85" s="206" t="str">
        <f t="shared" si="2"/>
        <v>三河301ゆ2474</v>
      </c>
      <c r="E85" s="206" t="s">
        <v>1246</v>
      </c>
      <c r="F85" s="206" t="s">
        <v>1081</v>
      </c>
      <c r="G85" s="206" t="s">
        <v>1328</v>
      </c>
      <c r="H85" s="75" t="s">
        <v>1715</v>
      </c>
      <c r="I85" s="205" t="s">
        <v>1769</v>
      </c>
      <c r="J85" s="205" t="s">
        <v>1769</v>
      </c>
      <c r="K85" s="206" t="s">
        <v>1789</v>
      </c>
      <c r="L85" s="206" t="s">
        <v>162</v>
      </c>
      <c r="M85" s="206" t="s">
        <v>1051</v>
      </c>
      <c r="N85" s="205" t="s">
        <v>1769</v>
      </c>
      <c r="O85" s="220" t="s">
        <v>1769</v>
      </c>
      <c r="P85" s="206" t="s">
        <v>400</v>
      </c>
      <c r="Q85" s="205" t="s">
        <v>1769</v>
      </c>
      <c r="R85" s="205" t="s">
        <v>1769</v>
      </c>
      <c r="S85" s="205" t="s">
        <v>1184</v>
      </c>
      <c r="T85" s="205" t="s">
        <v>1769</v>
      </c>
      <c r="U85" s="205" t="s">
        <v>1769</v>
      </c>
      <c r="V85" s="205" t="s">
        <v>1769</v>
      </c>
      <c r="W85" s="205" t="s">
        <v>1769</v>
      </c>
      <c r="X85" s="205" t="s">
        <v>1769</v>
      </c>
      <c r="Y85" s="268"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row>
    <row r="86" spans="1:36" ht="22.5">
      <c r="A86" s="205">
        <v>2</v>
      </c>
      <c r="B86" s="206" t="s">
        <v>1148</v>
      </c>
      <c r="C86" s="253" t="s">
        <v>1206</v>
      </c>
      <c r="D86" s="206" t="str">
        <f t="shared" si="2"/>
        <v>三河305ら2</v>
      </c>
      <c r="E86" s="206" t="s">
        <v>1261</v>
      </c>
      <c r="F86" s="206" t="s">
        <v>1050</v>
      </c>
      <c r="G86" s="206" t="s">
        <v>1328</v>
      </c>
      <c r="H86" s="96" t="s">
        <v>1656</v>
      </c>
      <c r="I86" s="205" t="s">
        <v>1769</v>
      </c>
      <c r="J86" s="205" t="s">
        <v>1769</v>
      </c>
      <c r="K86" s="206" t="s">
        <v>1789</v>
      </c>
      <c r="L86" s="206" t="s">
        <v>162</v>
      </c>
      <c r="M86" s="206" t="s">
        <v>1051</v>
      </c>
      <c r="N86" s="205" t="s">
        <v>1769</v>
      </c>
      <c r="O86" s="220" t="s">
        <v>1769</v>
      </c>
      <c r="P86" s="206" t="s">
        <v>400</v>
      </c>
      <c r="Q86" s="205" t="s">
        <v>1769</v>
      </c>
      <c r="R86" s="205" t="s">
        <v>1769</v>
      </c>
      <c r="S86" s="205" t="s">
        <v>1184</v>
      </c>
      <c r="T86" s="205" t="s">
        <v>1769</v>
      </c>
      <c r="U86" s="205" t="s">
        <v>1769</v>
      </c>
      <c r="V86" s="205" t="s">
        <v>1769</v>
      </c>
      <c r="W86" s="205" t="s">
        <v>1769</v>
      </c>
      <c r="X86" s="205" t="s">
        <v>1769</v>
      </c>
      <c r="Y86" s="268"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row>
    <row r="87" spans="1:36">
      <c r="A87" s="206">
        <v>1</v>
      </c>
      <c r="B87" s="206" t="s">
        <v>1165</v>
      </c>
      <c r="C87" s="253" t="s">
        <v>1762</v>
      </c>
      <c r="D87" s="206" t="str">
        <f t="shared" si="2"/>
        <v>三河322る1</v>
      </c>
      <c r="E87" s="206" t="s">
        <v>1115</v>
      </c>
      <c r="F87" s="206" t="s">
        <v>1116</v>
      </c>
      <c r="G87" s="206" t="s">
        <v>1117</v>
      </c>
      <c r="H87" s="206" t="s">
        <v>1118</v>
      </c>
      <c r="I87" s="205" t="s">
        <v>1769</v>
      </c>
      <c r="J87" s="205" t="s">
        <v>1769</v>
      </c>
      <c r="K87" s="206" t="s">
        <v>1064</v>
      </c>
      <c r="L87" s="205" t="s">
        <v>287</v>
      </c>
      <c r="M87" s="206" t="s">
        <v>1091</v>
      </c>
      <c r="N87" s="205" t="s">
        <v>1769</v>
      </c>
      <c r="O87" s="220" t="s">
        <v>1769</v>
      </c>
      <c r="P87" s="206" t="s">
        <v>400</v>
      </c>
      <c r="Q87" s="205" t="s">
        <v>1769</v>
      </c>
      <c r="R87" s="205" t="s">
        <v>1769</v>
      </c>
      <c r="S87" s="205" t="s">
        <v>1183</v>
      </c>
      <c r="T87" s="206" t="s">
        <v>1769</v>
      </c>
      <c r="U87" s="205" t="s">
        <v>1769</v>
      </c>
      <c r="V87" s="205" t="s">
        <v>1769</v>
      </c>
      <c r="W87" s="205" t="s">
        <v>1769</v>
      </c>
      <c r="X87" s="205" t="s">
        <v>1769</v>
      </c>
      <c r="Y87" s="221"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row>
    <row r="88" spans="1:36">
      <c r="A88" s="206">
        <v>1</v>
      </c>
      <c r="B88" s="206" t="s">
        <v>1164</v>
      </c>
      <c r="C88" s="253" t="s">
        <v>1762</v>
      </c>
      <c r="D88" s="206" t="str">
        <f t="shared" si="2"/>
        <v>三河342み1</v>
      </c>
      <c r="E88" s="206" t="s">
        <v>1107</v>
      </c>
      <c r="F88" s="206" t="s">
        <v>1108</v>
      </c>
      <c r="G88" s="206" t="s">
        <v>1109</v>
      </c>
      <c r="H88" s="206" t="s">
        <v>1110</v>
      </c>
      <c r="I88" s="205" t="s">
        <v>1769</v>
      </c>
      <c r="J88" s="205" t="s">
        <v>1769</v>
      </c>
      <c r="K88" s="206" t="s">
        <v>1064</v>
      </c>
      <c r="L88" s="205" t="s">
        <v>287</v>
      </c>
      <c r="M88" s="206" t="s">
        <v>1792</v>
      </c>
      <c r="N88" s="205" t="s">
        <v>1769</v>
      </c>
      <c r="O88" s="220" t="s">
        <v>1769</v>
      </c>
      <c r="P88" s="206" t="s">
        <v>400</v>
      </c>
      <c r="Q88" s="205" t="s">
        <v>1769</v>
      </c>
      <c r="R88" s="205" t="s">
        <v>1769</v>
      </c>
      <c r="S88" s="205" t="s">
        <v>1183</v>
      </c>
      <c r="T88" s="206" t="s">
        <v>1769</v>
      </c>
      <c r="U88" s="205" t="s">
        <v>1769</v>
      </c>
      <c r="V88" s="205" t="s">
        <v>1769</v>
      </c>
      <c r="W88" s="205" t="s">
        <v>1769</v>
      </c>
      <c r="X88" s="205" t="s">
        <v>1769</v>
      </c>
      <c r="Y88" s="221"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row>
    <row r="89" spans="1:36" ht="22.5">
      <c r="A89" s="200">
        <v>1416</v>
      </c>
      <c r="B89" s="200" t="s">
        <v>1211</v>
      </c>
      <c r="C89" s="200" t="s">
        <v>1766</v>
      </c>
      <c r="D89" s="200" t="str">
        <f t="shared" si="2"/>
        <v>三河400あ1416</v>
      </c>
      <c r="E89" s="200" t="s">
        <v>1213</v>
      </c>
      <c r="F89" s="200" t="s">
        <v>1214</v>
      </c>
      <c r="G89" s="200" t="s">
        <v>1212</v>
      </c>
      <c r="H89" s="200" t="s">
        <v>1764</v>
      </c>
      <c r="I89" s="201" t="s">
        <v>1216</v>
      </c>
      <c r="J89" s="201" t="s">
        <v>1217</v>
      </c>
      <c r="K89" s="200" t="s">
        <v>1215</v>
      </c>
      <c r="L89" s="200" t="s">
        <v>287</v>
      </c>
      <c r="M89" s="200" t="s">
        <v>1091</v>
      </c>
      <c r="N89" s="200" t="s">
        <v>1769</v>
      </c>
      <c r="O89" s="204" t="s">
        <v>1769</v>
      </c>
      <c r="P89" s="200" t="s">
        <v>1204</v>
      </c>
      <c r="Q89" s="200" t="s">
        <v>1205</v>
      </c>
      <c r="R89" s="200" t="s">
        <v>1769</v>
      </c>
      <c r="S89" s="200" t="s">
        <v>1188</v>
      </c>
      <c r="T89" s="200" t="s">
        <v>1769</v>
      </c>
      <c r="U89" s="200" t="s">
        <v>1769</v>
      </c>
      <c r="V89" s="200" t="s">
        <v>1769</v>
      </c>
      <c r="W89" s="200" t="s">
        <v>1769</v>
      </c>
      <c r="X89" s="200" t="s">
        <v>1769</v>
      </c>
      <c r="Y89" s="267"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row>
    <row r="90" spans="1:36" ht="33.75">
      <c r="A90" s="205">
        <v>9147</v>
      </c>
      <c r="B90" s="206" t="s">
        <v>1151</v>
      </c>
      <c r="C90" s="254" t="s">
        <v>1752</v>
      </c>
      <c r="D90" s="206" t="str">
        <f t="shared" si="2"/>
        <v>三河400と9147</v>
      </c>
      <c r="E90" s="206" t="s">
        <v>1329</v>
      </c>
      <c r="F90" s="206" t="s">
        <v>1330</v>
      </c>
      <c r="G90" s="206" t="s">
        <v>1328</v>
      </c>
      <c r="H90" s="206" t="s">
        <v>1057</v>
      </c>
      <c r="I90" s="205" t="s">
        <v>1769</v>
      </c>
      <c r="J90" s="205" t="s">
        <v>1769</v>
      </c>
      <c r="K90" s="206" t="s">
        <v>1215</v>
      </c>
      <c r="L90" s="206" t="s">
        <v>162</v>
      </c>
      <c r="M90" s="206" t="s">
        <v>1051</v>
      </c>
      <c r="N90" s="205" t="s">
        <v>1769</v>
      </c>
      <c r="O90" s="220" t="s">
        <v>1769</v>
      </c>
      <c r="P90" s="206" t="s">
        <v>402</v>
      </c>
      <c r="Q90" s="205" t="s">
        <v>1769</v>
      </c>
      <c r="R90" s="205" t="s">
        <v>1769</v>
      </c>
      <c r="S90" s="205" t="s">
        <v>1184</v>
      </c>
      <c r="T90" s="205" t="s">
        <v>1769</v>
      </c>
      <c r="U90" s="205" t="s">
        <v>1769</v>
      </c>
      <c r="V90" s="205" t="s">
        <v>1769</v>
      </c>
      <c r="W90" s="205" t="s">
        <v>1769</v>
      </c>
      <c r="X90" s="205" t="s">
        <v>1769</v>
      </c>
      <c r="Y90" s="268"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row>
    <row r="91" spans="1:36">
      <c r="A91" s="206">
        <v>2967</v>
      </c>
      <c r="B91" s="206" t="s">
        <v>1167</v>
      </c>
      <c r="C91" s="253" t="s">
        <v>1206</v>
      </c>
      <c r="D91" s="206" t="str">
        <f t="shared" si="2"/>
        <v>三河480い2967</v>
      </c>
      <c r="E91" s="206" t="s">
        <v>1285</v>
      </c>
      <c r="F91" s="206" t="s">
        <v>1124</v>
      </c>
      <c r="G91" s="206" t="s">
        <v>1060</v>
      </c>
      <c r="H91" s="206" t="s">
        <v>1125</v>
      </c>
      <c r="I91" s="205" t="s">
        <v>1769</v>
      </c>
      <c r="J91" s="205" t="s">
        <v>1769</v>
      </c>
      <c r="K91" s="206" t="s">
        <v>1797</v>
      </c>
      <c r="L91" s="205" t="s">
        <v>287</v>
      </c>
      <c r="M91" s="206" t="s">
        <v>1091</v>
      </c>
      <c r="N91" s="205" t="s">
        <v>1769</v>
      </c>
      <c r="O91" s="220" t="s">
        <v>1769</v>
      </c>
      <c r="P91" s="206" t="s">
        <v>1054</v>
      </c>
      <c r="Q91" s="205" t="s">
        <v>1769</v>
      </c>
      <c r="R91" s="205" t="s">
        <v>1769</v>
      </c>
      <c r="S91" s="205" t="s">
        <v>1183</v>
      </c>
      <c r="T91" s="206" t="s">
        <v>1769</v>
      </c>
      <c r="U91" s="205" t="s">
        <v>1769</v>
      </c>
      <c r="V91" s="205" t="s">
        <v>1769</v>
      </c>
      <c r="W91" s="205" t="s">
        <v>1769</v>
      </c>
      <c r="X91" s="205" t="s">
        <v>1769</v>
      </c>
      <c r="Y91" s="221"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row>
    <row r="92" spans="1:36">
      <c r="A92" s="205">
        <v>266</v>
      </c>
      <c r="B92" s="206" t="s">
        <v>1149</v>
      </c>
      <c r="C92" s="253" t="s">
        <v>1206</v>
      </c>
      <c r="D92" s="206" t="str">
        <f t="shared" si="2"/>
        <v>三河480き266</v>
      </c>
      <c r="E92" s="206" t="s">
        <v>1052</v>
      </c>
      <c r="F92" s="206" t="s">
        <v>1053</v>
      </c>
      <c r="G92" s="206" t="s">
        <v>1234</v>
      </c>
      <c r="H92" s="96" t="s">
        <v>1662</v>
      </c>
      <c r="I92" s="205" t="s">
        <v>1769</v>
      </c>
      <c r="J92" s="205" t="s">
        <v>1769</v>
      </c>
      <c r="K92" s="206" t="s">
        <v>1215</v>
      </c>
      <c r="L92" s="206" t="s">
        <v>162</v>
      </c>
      <c r="M92" s="206" t="s">
        <v>1051</v>
      </c>
      <c r="N92" s="205" t="s">
        <v>1769</v>
      </c>
      <c r="O92" s="220" t="s">
        <v>1769</v>
      </c>
      <c r="P92" s="206" t="s">
        <v>1054</v>
      </c>
      <c r="Q92" s="205" t="s">
        <v>1769</v>
      </c>
      <c r="R92" s="205" t="s">
        <v>1769</v>
      </c>
      <c r="S92" s="205" t="s">
        <v>1184</v>
      </c>
      <c r="T92" s="205" t="s">
        <v>1769</v>
      </c>
      <c r="U92" s="205" t="s">
        <v>1769</v>
      </c>
      <c r="V92" s="205" t="s">
        <v>1769</v>
      </c>
      <c r="W92" s="205" t="s">
        <v>1769</v>
      </c>
      <c r="X92" s="205" t="s">
        <v>1769</v>
      </c>
      <c r="Y92" s="221"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row>
    <row r="93" spans="1:36">
      <c r="A93" s="206">
        <v>7169</v>
      </c>
      <c r="B93" s="206" t="s">
        <v>1149</v>
      </c>
      <c r="C93" s="253" t="s">
        <v>1762</v>
      </c>
      <c r="D93" s="206" t="str">
        <f t="shared" si="2"/>
        <v>三河480き7169</v>
      </c>
      <c r="E93" s="206" t="s">
        <v>1097</v>
      </c>
      <c r="F93" s="206" t="s">
        <v>1133</v>
      </c>
      <c r="G93" s="206" t="s">
        <v>1234</v>
      </c>
      <c r="H93" s="206" t="s">
        <v>1134</v>
      </c>
      <c r="I93" s="205" t="s">
        <v>1769</v>
      </c>
      <c r="J93" s="205" t="s">
        <v>1769</v>
      </c>
      <c r="K93" s="206" t="s">
        <v>1215</v>
      </c>
      <c r="L93" s="205" t="s">
        <v>287</v>
      </c>
      <c r="M93" s="206" t="s">
        <v>1798</v>
      </c>
      <c r="N93" s="205" t="s">
        <v>1769</v>
      </c>
      <c r="O93" s="220" t="s">
        <v>1769</v>
      </c>
      <c r="P93" s="206" t="s">
        <v>1054</v>
      </c>
      <c r="Q93" s="205" t="s">
        <v>1769</v>
      </c>
      <c r="R93" s="205" t="s">
        <v>1769</v>
      </c>
      <c r="S93" s="205" t="s">
        <v>1183</v>
      </c>
      <c r="T93" s="206" t="s">
        <v>1769</v>
      </c>
      <c r="U93" s="205" t="s">
        <v>1769</v>
      </c>
      <c r="V93" s="205" t="s">
        <v>1769</v>
      </c>
      <c r="W93" s="205" t="s">
        <v>1769</v>
      </c>
      <c r="X93" s="205" t="s">
        <v>1769</v>
      </c>
      <c r="Y93" s="221"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row>
    <row r="94" spans="1:36" ht="22.5">
      <c r="A94" s="205">
        <v>1679</v>
      </c>
      <c r="B94" s="206" t="s">
        <v>1160</v>
      </c>
      <c r="C94" s="253" t="s">
        <v>1760</v>
      </c>
      <c r="D94" s="206" t="str">
        <f t="shared" si="2"/>
        <v>三河580は1679</v>
      </c>
      <c r="E94" s="206" t="s">
        <v>1082</v>
      </c>
      <c r="F94" s="206" t="s">
        <v>1083</v>
      </c>
      <c r="G94" s="206" t="s">
        <v>1212</v>
      </c>
      <c r="H94" s="206" t="s">
        <v>1084</v>
      </c>
      <c r="I94" s="205" t="s">
        <v>1769</v>
      </c>
      <c r="J94" s="205" t="s">
        <v>1769</v>
      </c>
      <c r="K94" s="206" t="s">
        <v>1064</v>
      </c>
      <c r="L94" s="224" t="s">
        <v>1799</v>
      </c>
      <c r="M94" s="224" t="s">
        <v>1799</v>
      </c>
      <c r="N94" s="205" t="s">
        <v>1769</v>
      </c>
      <c r="O94" s="220" t="s">
        <v>1769</v>
      </c>
      <c r="P94" s="206" t="s">
        <v>1054</v>
      </c>
      <c r="Q94" s="205" t="s">
        <v>1769</v>
      </c>
      <c r="R94" s="205" t="s">
        <v>1769</v>
      </c>
      <c r="S94" s="205" t="s">
        <v>1184</v>
      </c>
      <c r="T94" s="205" t="s">
        <v>1769</v>
      </c>
      <c r="U94" s="205" t="s">
        <v>1769</v>
      </c>
      <c r="V94" s="205" t="s">
        <v>1769</v>
      </c>
      <c r="W94" s="205" t="s">
        <v>1769</v>
      </c>
      <c r="X94" s="205" t="s">
        <v>1769</v>
      </c>
      <c r="Y94" s="221"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row>
    <row r="95" spans="1:36">
      <c r="A95" s="206">
        <v>1387</v>
      </c>
      <c r="B95" s="206" t="s">
        <v>1162</v>
      </c>
      <c r="C95" s="253" t="s">
        <v>1762</v>
      </c>
      <c r="D95" s="206" t="str">
        <f t="shared" si="2"/>
        <v>三河つ1387</v>
      </c>
      <c r="E95" s="206" t="s">
        <v>1112</v>
      </c>
      <c r="F95" s="206" t="s">
        <v>1092</v>
      </c>
      <c r="G95" s="206" t="s">
        <v>1092</v>
      </c>
      <c r="H95" s="206" t="s">
        <v>1113</v>
      </c>
      <c r="I95" s="205" t="s">
        <v>1769</v>
      </c>
      <c r="J95" s="205" t="s">
        <v>1769</v>
      </c>
      <c r="K95" s="206" t="s">
        <v>1800</v>
      </c>
      <c r="L95" s="205" t="s">
        <v>287</v>
      </c>
      <c r="M95" s="206" t="s">
        <v>1091</v>
      </c>
      <c r="N95" s="205" t="s">
        <v>1769</v>
      </c>
      <c r="O95" s="220" t="s">
        <v>1769</v>
      </c>
      <c r="P95" s="206" t="s">
        <v>402</v>
      </c>
      <c r="Q95" s="205" t="s">
        <v>1769</v>
      </c>
      <c r="R95" s="205" t="s">
        <v>1769</v>
      </c>
      <c r="S95" s="205" t="s">
        <v>1183</v>
      </c>
      <c r="T95" s="206" t="s">
        <v>1769</v>
      </c>
      <c r="U95" s="205" t="s">
        <v>1769</v>
      </c>
      <c r="V95" s="205" t="s">
        <v>1769</v>
      </c>
      <c r="W95" s="205" t="s">
        <v>1769</v>
      </c>
      <c r="X95" s="205" t="s">
        <v>1769</v>
      </c>
      <c r="Y95" s="221"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row>
    <row r="96" spans="1:36">
      <c r="A96" s="206">
        <v>2896</v>
      </c>
      <c r="B96" s="206" t="s">
        <v>1162</v>
      </c>
      <c r="C96" s="253" t="s">
        <v>1762</v>
      </c>
      <c r="D96" s="206" t="str">
        <f t="shared" si="2"/>
        <v>三河つ2896</v>
      </c>
      <c r="E96" s="206" t="s">
        <v>1415</v>
      </c>
      <c r="F96" s="206" t="s">
        <v>1092</v>
      </c>
      <c r="G96" s="206" t="s">
        <v>1075</v>
      </c>
      <c r="H96" s="206" t="s">
        <v>1093</v>
      </c>
      <c r="I96" s="205" t="s">
        <v>1769</v>
      </c>
      <c r="J96" s="205" t="s">
        <v>1769</v>
      </c>
      <c r="K96" s="206" t="s">
        <v>1095</v>
      </c>
      <c r="L96" s="205" t="s">
        <v>287</v>
      </c>
      <c r="M96" s="206" t="s">
        <v>1091</v>
      </c>
      <c r="N96" s="205" t="s">
        <v>1769</v>
      </c>
      <c r="O96" s="220" t="s">
        <v>1769</v>
      </c>
      <c r="P96" s="206" t="s">
        <v>1094</v>
      </c>
      <c r="Q96" s="205" t="s">
        <v>1769</v>
      </c>
      <c r="R96" s="205" t="s">
        <v>1769</v>
      </c>
      <c r="S96" s="205" t="s">
        <v>1183</v>
      </c>
      <c r="T96" s="206" t="s">
        <v>1769</v>
      </c>
      <c r="U96" s="205" t="s">
        <v>1769</v>
      </c>
      <c r="V96" s="205" t="s">
        <v>1769</v>
      </c>
      <c r="W96" s="205" t="s">
        <v>1769</v>
      </c>
      <c r="X96" s="205" t="s">
        <v>1769</v>
      </c>
      <c r="Y96" s="221"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row>
    <row r="97" spans="1:36">
      <c r="A97" s="209">
        <v>7550</v>
      </c>
      <c r="B97" s="209" t="s">
        <v>1281</v>
      </c>
      <c r="C97" s="253" t="s">
        <v>1206</v>
      </c>
      <c r="D97" s="206" t="str">
        <f t="shared" si="2"/>
        <v>滋賀100あ7550</v>
      </c>
      <c r="E97" s="210" t="s">
        <v>1283</v>
      </c>
      <c r="F97" s="209" t="s">
        <v>659</v>
      </c>
      <c r="G97" s="210" t="s">
        <v>1772</v>
      </c>
      <c r="H97" s="209" t="s">
        <v>660</v>
      </c>
      <c r="I97" s="210" t="s">
        <v>1263</v>
      </c>
      <c r="J97" s="210" t="s">
        <v>1253</v>
      </c>
      <c r="K97" s="210" t="s">
        <v>173</v>
      </c>
      <c r="L97" s="265" t="s">
        <v>162</v>
      </c>
      <c r="M97" s="206" t="s">
        <v>1769</v>
      </c>
      <c r="N97" s="206" t="s">
        <v>1769</v>
      </c>
      <c r="O97" s="208" t="s">
        <v>1769</v>
      </c>
      <c r="P97" s="209" t="s">
        <v>1224</v>
      </c>
      <c r="Q97" s="205" t="s">
        <v>1205</v>
      </c>
      <c r="R97" s="211" t="s">
        <v>1769</v>
      </c>
      <c r="S97" s="205" t="s">
        <v>1176</v>
      </c>
      <c r="T97" s="210" t="s">
        <v>1282</v>
      </c>
      <c r="U97" s="206" t="s">
        <v>1769</v>
      </c>
      <c r="V97" s="206" t="s">
        <v>1769</v>
      </c>
      <c r="W97" s="205" t="s">
        <v>1769</v>
      </c>
      <c r="X97" s="205" t="s">
        <v>1769</v>
      </c>
      <c r="Y97" s="208"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row>
    <row r="98" spans="1:36">
      <c r="A98" s="205">
        <v>221</v>
      </c>
      <c r="B98" s="205" t="s">
        <v>1284</v>
      </c>
      <c r="C98" s="253" t="s">
        <v>1206</v>
      </c>
      <c r="D98" s="206" t="str">
        <f t="shared" ref="D98:D129" si="3">CONCATENATE(B98,A98)</f>
        <v>滋賀100い221</v>
      </c>
      <c r="E98" s="205" t="s">
        <v>1285</v>
      </c>
      <c r="F98" s="205" t="s">
        <v>1286</v>
      </c>
      <c r="G98" s="205" t="s">
        <v>1237</v>
      </c>
      <c r="H98" s="206" t="s">
        <v>670</v>
      </c>
      <c r="I98" s="205" t="s">
        <v>1287</v>
      </c>
      <c r="J98" s="205" t="s">
        <v>1253</v>
      </c>
      <c r="K98" s="205" t="s">
        <v>1769</v>
      </c>
      <c r="L98" s="206" t="s">
        <v>162</v>
      </c>
      <c r="M98" s="206" t="s">
        <v>1773</v>
      </c>
      <c r="N98" s="180">
        <v>42540</v>
      </c>
      <c r="O98" s="212">
        <v>117504</v>
      </c>
      <c r="P98" s="205" t="s">
        <v>1224</v>
      </c>
      <c r="Q98" s="205" t="s">
        <v>1205</v>
      </c>
      <c r="R98" s="205" t="s">
        <v>1769</v>
      </c>
      <c r="S98" s="205" t="s">
        <v>1176</v>
      </c>
      <c r="T98" s="205" t="s">
        <v>1769</v>
      </c>
      <c r="U98" s="205" t="s">
        <v>1769</v>
      </c>
      <c r="V98" s="205" t="s">
        <v>1769</v>
      </c>
      <c r="W98" s="205" t="s">
        <v>1769</v>
      </c>
      <c r="X98" s="205" t="s">
        <v>1769</v>
      </c>
      <c r="Y98" s="212"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row>
    <row r="99" spans="1:36">
      <c r="A99" s="206">
        <v>291</v>
      </c>
      <c r="B99" s="206" t="s">
        <v>1284</v>
      </c>
      <c r="C99" s="253" t="s">
        <v>1756</v>
      </c>
      <c r="D99" s="206" t="str">
        <f t="shared" si="3"/>
        <v>滋賀100い291</v>
      </c>
      <c r="E99" s="205" t="s">
        <v>1289</v>
      </c>
      <c r="F99" s="206" t="s">
        <v>673</v>
      </c>
      <c r="G99" s="206" t="s">
        <v>1234</v>
      </c>
      <c r="H99" s="227" t="s">
        <v>383</v>
      </c>
      <c r="I99" s="206" t="s">
        <v>1290</v>
      </c>
      <c r="J99" s="206" t="s">
        <v>1291</v>
      </c>
      <c r="K99" s="206" t="s">
        <v>381</v>
      </c>
      <c r="L99" s="206" t="s">
        <v>162</v>
      </c>
      <c r="M99" s="206" t="s">
        <v>1776</v>
      </c>
      <c r="N99" s="181">
        <v>42270</v>
      </c>
      <c r="O99" s="208">
        <v>81795</v>
      </c>
      <c r="P99" s="209" t="s">
        <v>1224</v>
      </c>
      <c r="Q99" s="205" t="s">
        <v>1205</v>
      </c>
      <c r="R99" s="211" t="s">
        <v>1769</v>
      </c>
      <c r="S99" s="205" t="s">
        <v>1176</v>
      </c>
      <c r="T99" s="205" t="s">
        <v>1288</v>
      </c>
      <c r="U99" s="206" t="s">
        <v>1769</v>
      </c>
      <c r="V99" s="206" t="s">
        <v>1769</v>
      </c>
      <c r="W99" s="205" t="s">
        <v>1769</v>
      </c>
      <c r="X99" s="205" t="s">
        <v>1769</v>
      </c>
      <c r="Y99" s="208"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row>
    <row r="100" spans="1:36">
      <c r="A100" s="206">
        <v>453</v>
      </c>
      <c r="B100" s="206" t="s">
        <v>1292</v>
      </c>
      <c r="C100" s="253" t="s">
        <v>1206</v>
      </c>
      <c r="D100" s="206" t="str">
        <f t="shared" si="3"/>
        <v>滋賀100え453</v>
      </c>
      <c r="E100" s="205" t="s">
        <v>1293</v>
      </c>
      <c r="F100" s="206" t="s">
        <v>631</v>
      </c>
      <c r="G100" s="206" t="s">
        <v>1784</v>
      </c>
      <c r="H100" s="206" t="s">
        <v>633</v>
      </c>
      <c r="I100" s="206" t="s">
        <v>1294</v>
      </c>
      <c r="J100" s="206" t="s">
        <v>1295</v>
      </c>
      <c r="K100" s="206" t="s">
        <v>357</v>
      </c>
      <c r="L100" s="265" t="s">
        <v>162</v>
      </c>
      <c r="M100" s="206" t="s">
        <v>1769</v>
      </c>
      <c r="N100" s="206" t="s">
        <v>1769</v>
      </c>
      <c r="O100" s="208" t="s">
        <v>1769</v>
      </c>
      <c r="P100" s="209" t="s">
        <v>1224</v>
      </c>
      <c r="Q100" s="205" t="s">
        <v>1769</v>
      </c>
      <c r="R100" s="211" t="s">
        <v>1769</v>
      </c>
      <c r="S100" s="205" t="s">
        <v>1176</v>
      </c>
      <c r="T100" s="210" t="s">
        <v>1769</v>
      </c>
      <c r="U100" s="206" t="s">
        <v>1769</v>
      </c>
      <c r="V100" s="206" t="s">
        <v>1769</v>
      </c>
      <c r="W100" s="205" t="s">
        <v>1769</v>
      </c>
      <c r="X100" s="205" t="s">
        <v>1769</v>
      </c>
      <c r="Y100" s="208"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row>
    <row r="101" spans="1:36">
      <c r="A101" s="206">
        <v>459</v>
      </c>
      <c r="B101" s="206" t="s">
        <v>1292</v>
      </c>
      <c r="C101" s="253" t="s">
        <v>1206</v>
      </c>
      <c r="D101" s="206" t="str">
        <f t="shared" si="3"/>
        <v>滋賀100え459</v>
      </c>
      <c r="E101" s="205" t="s">
        <v>1261</v>
      </c>
      <c r="F101" s="206" t="s">
        <v>637</v>
      </c>
      <c r="G101" s="206" t="s">
        <v>1785</v>
      </c>
      <c r="H101" s="206" t="s">
        <v>639</v>
      </c>
      <c r="I101" s="206" t="s">
        <v>1296</v>
      </c>
      <c r="J101" s="206" t="s">
        <v>1297</v>
      </c>
      <c r="K101" s="206" t="s">
        <v>354</v>
      </c>
      <c r="L101" s="265" t="s">
        <v>162</v>
      </c>
      <c r="M101" s="206" t="s">
        <v>1769</v>
      </c>
      <c r="N101" s="206" t="s">
        <v>1769</v>
      </c>
      <c r="O101" s="208" t="s">
        <v>1769</v>
      </c>
      <c r="P101" s="209" t="s">
        <v>1224</v>
      </c>
      <c r="Q101" s="205" t="s">
        <v>1769</v>
      </c>
      <c r="R101" s="211" t="s">
        <v>570</v>
      </c>
      <c r="S101" s="205" t="s">
        <v>1176</v>
      </c>
      <c r="T101" s="210" t="s">
        <v>1769</v>
      </c>
      <c r="U101" s="206" t="s">
        <v>1769</v>
      </c>
      <c r="V101" s="206" t="s">
        <v>1769</v>
      </c>
      <c r="W101" s="205" t="s">
        <v>1769</v>
      </c>
      <c r="X101" s="205" t="s">
        <v>1769</v>
      </c>
      <c r="Y101" s="208"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row>
    <row r="102" spans="1:36">
      <c r="A102" s="215">
        <v>460</v>
      </c>
      <c r="B102" s="215" t="s">
        <v>1292</v>
      </c>
      <c r="C102" s="215" t="s">
        <v>1766</v>
      </c>
      <c r="D102" s="215" t="str">
        <f t="shared" si="3"/>
        <v>滋賀100え460</v>
      </c>
      <c r="E102" s="215" t="s">
        <v>1298</v>
      </c>
      <c r="F102" s="215" t="s">
        <v>1299</v>
      </c>
      <c r="G102" s="215" t="s">
        <v>1784</v>
      </c>
      <c r="H102" s="215" t="s">
        <v>977</v>
      </c>
      <c r="I102" s="215" t="s">
        <v>1300</v>
      </c>
      <c r="J102" s="215" t="s">
        <v>1301</v>
      </c>
      <c r="K102" s="215" t="s">
        <v>360</v>
      </c>
      <c r="L102" s="265" t="s">
        <v>162</v>
      </c>
      <c r="M102" s="215" t="s">
        <v>1769</v>
      </c>
      <c r="N102" s="215" t="s">
        <v>1769</v>
      </c>
      <c r="O102" s="217" t="s">
        <v>1769</v>
      </c>
      <c r="P102" s="215" t="s">
        <v>1224</v>
      </c>
      <c r="Q102" s="215" t="s">
        <v>1769</v>
      </c>
      <c r="R102" s="215" t="s">
        <v>1769</v>
      </c>
      <c r="S102" s="215" t="s">
        <v>1176</v>
      </c>
      <c r="T102" s="216" t="s">
        <v>1769</v>
      </c>
      <c r="U102" s="215" t="s">
        <v>1769</v>
      </c>
      <c r="V102" s="215" t="s">
        <v>1769</v>
      </c>
      <c r="W102" s="215" t="s">
        <v>1769</v>
      </c>
      <c r="X102" s="215" t="s">
        <v>1769</v>
      </c>
      <c r="Y102" s="217"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row>
    <row r="103" spans="1:36">
      <c r="A103" s="206">
        <v>463</v>
      </c>
      <c r="B103" s="206" t="s">
        <v>1292</v>
      </c>
      <c r="C103" s="253" t="s">
        <v>1206</v>
      </c>
      <c r="D103" s="206" t="str">
        <f t="shared" si="3"/>
        <v>滋賀100え463</v>
      </c>
      <c r="E103" s="205" t="s">
        <v>1302</v>
      </c>
      <c r="F103" s="206" t="s">
        <v>637</v>
      </c>
      <c r="G103" s="206" t="s">
        <v>1785</v>
      </c>
      <c r="H103" s="206" t="s">
        <v>643</v>
      </c>
      <c r="I103" s="206" t="s">
        <v>1296</v>
      </c>
      <c r="J103" s="206" t="s">
        <v>1297</v>
      </c>
      <c r="K103" s="206" t="s">
        <v>355</v>
      </c>
      <c r="L103" s="265" t="s">
        <v>162</v>
      </c>
      <c r="M103" s="206" t="s">
        <v>1769</v>
      </c>
      <c r="N103" s="206" t="s">
        <v>1769</v>
      </c>
      <c r="O103" s="208" t="s">
        <v>1769</v>
      </c>
      <c r="P103" s="209" t="s">
        <v>1224</v>
      </c>
      <c r="Q103" s="205" t="s">
        <v>1769</v>
      </c>
      <c r="R103" s="211" t="s">
        <v>570</v>
      </c>
      <c r="S103" s="205" t="s">
        <v>1176</v>
      </c>
      <c r="T103" s="210" t="s">
        <v>1769</v>
      </c>
      <c r="U103" s="206" t="s">
        <v>1769</v>
      </c>
      <c r="V103" s="206" t="s">
        <v>1769</v>
      </c>
      <c r="W103" s="205" t="s">
        <v>1769</v>
      </c>
      <c r="X103" s="205" t="s">
        <v>1769</v>
      </c>
      <c r="Y103" s="208"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row>
    <row r="104" spans="1:36">
      <c r="A104" s="206">
        <v>465</v>
      </c>
      <c r="B104" s="206" t="s">
        <v>1292</v>
      </c>
      <c r="C104" s="253" t="s">
        <v>1206</v>
      </c>
      <c r="D104" s="206" t="str">
        <f t="shared" si="3"/>
        <v>滋賀100え465</v>
      </c>
      <c r="E104" s="205" t="s">
        <v>1304</v>
      </c>
      <c r="F104" s="206" t="s">
        <v>644</v>
      </c>
      <c r="G104" s="206" t="s">
        <v>1303</v>
      </c>
      <c r="H104" s="206" t="s">
        <v>339</v>
      </c>
      <c r="I104" s="206" t="s">
        <v>1296</v>
      </c>
      <c r="J104" s="206" t="s">
        <v>1305</v>
      </c>
      <c r="K104" s="206" t="s">
        <v>356</v>
      </c>
      <c r="L104" s="265" t="s">
        <v>162</v>
      </c>
      <c r="M104" s="206" t="s">
        <v>1769</v>
      </c>
      <c r="N104" s="206" t="s">
        <v>1769</v>
      </c>
      <c r="O104" s="208" t="s">
        <v>1769</v>
      </c>
      <c r="P104" s="209" t="s">
        <v>1224</v>
      </c>
      <c r="Q104" s="205" t="s">
        <v>1769</v>
      </c>
      <c r="R104" s="211" t="s">
        <v>570</v>
      </c>
      <c r="S104" s="205" t="s">
        <v>1176</v>
      </c>
      <c r="T104" s="210" t="s">
        <v>1769</v>
      </c>
      <c r="U104" s="206" t="s">
        <v>1769</v>
      </c>
      <c r="V104" s="206" t="s">
        <v>1769</v>
      </c>
      <c r="W104" s="205" t="s">
        <v>1769</v>
      </c>
      <c r="X104" s="205" t="s">
        <v>1769</v>
      </c>
      <c r="Y104" s="208"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row>
    <row r="105" spans="1:36">
      <c r="A105" s="206">
        <v>466</v>
      </c>
      <c r="B105" s="206" t="s">
        <v>1292</v>
      </c>
      <c r="C105" s="253" t="s">
        <v>1206</v>
      </c>
      <c r="D105" s="206" t="str">
        <f t="shared" si="3"/>
        <v>滋賀100え466</v>
      </c>
      <c r="E105" s="205" t="s">
        <v>1304</v>
      </c>
      <c r="F105" s="206" t="s">
        <v>644</v>
      </c>
      <c r="G105" s="206" t="s">
        <v>1303</v>
      </c>
      <c r="H105" s="206" t="s">
        <v>340</v>
      </c>
      <c r="I105" s="206" t="s">
        <v>1296</v>
      </c>
      <c r="J105" s="206" t="s">
        <v>1305</v>
      </c>
      <c r="K105" s="206" t="s">
        <v>356</v>
      </c>
      <c r="L105" s="265" t="s">
        <v>162</v>
      </c>
      <c r="M105" s="206" t="s">
        <v>1769</v>
      </c>
      <c r="N105" s="206" t="s">
        <v>1769</v>
      </c>
      <c r="O105" s="208" t="s">
        <v>1769</v>
      </c>
      <c r="P105" s="209" t="s">
        <v>1224</v>
      </c>
      <c r="Q105" s="205" t="s">
        <v>1769</v>
      </c>
      <c r="R105" s="211" t="s">
        <v>570</v>
      </c>
      <c r="S105" s="205" t="s">
        <v>1176</v>
      </c>
      <c r="T105" s="210" t="s">
        <v>1769</v>
      </c>
      <c r="U105" s="206" t="s">
        <v>1769</v>
      </c>
      <c r="V105" s="206" t="s">
        <v>1769</v>
      </c>
      <c r="W105" s="205" t="s">
        <v>1769</v>
      </c>
      <c r="X105" s="205" t="s">
        <v>1769</v>
      </c>
      <c r="Y105" s="208"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row>
    <row r="106" spans="1:36">
      <c r="A106" s="206">
        <v>478</v>
      </c>
      <c r="B106" s="206" t="s">
        <v>1292</v>
      </c>
      <c r="C106" s="253" t="s">
        <v>1206</v>
      </c>
      <c r="D106" s="206" t="str">
        <f t="shared" si="3"/>
        <v>滋賀100え478</v>
      </c>
      <c r="E106" s="205" t="s">
        <v>1306</v>
      </c>
      <c r="F106" s="206" t="s">
        <v>647</v>
      </c>
      <c r="G106" s="206" t="s">
        <v>1303</v>
      </c>
      <c r="H106" s="206" t="s">
        <v>342</v>
      </c>
      <c r="I106" s="206" t="s">
        <v>1307</v>
      </c>
      <c r="J106" s="206" t="s">
        <v>1308</v>
      </c>
      <c r="K106" s="206" t="s">
        <v>356</v>
      </c>
      <c r="L106" s="265" t="s">
        <v>162</v>
      </c>
      <c r="M106" s="206" t="s">
        <v>1769</v>
      </c>
      <c r="N106" s="206" t="s">
        <v>1769</v>
      </c>
      <c r="O106" s="208" t="s">
        <v>1769</v>
      </c>
      <c r="P106" s="209" t="s">
        <v>1224</v>
      </c>
      <c r="Q106" s="205" t="s">
        <v>1769</v>
      </c>
      <c r="R106" s="211" t="s">
        <v>570</v>
      </c>
      <c r="S106" s="205" t="s">
        <v>1176</v>
      </c>
      <c r="T106" s="210" t="s">
        <v>1769</v>
      </c>
      <c r="U106" s="206" t="s">
        <v>1769</v>
      </c>
      <c r="V106" s="206" t="s">
        <v>1769</v>
      </c>
      <c r="W106" s="205" t="s">
        <v>1769</v>
      </c>
      <c r="X106" s="205" t="s">
        <v>1769</v>
      </c>
      <c r="Y106" s="208"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row>
    <row r="107" spans="1:36">
      <c r="A107" s="206">
        <v>507</v>
      </c>
      <c r="B107" s="206" t="s">
        <v>1292</v>
      </c>
      <c r="C107" s="253" t="s">
        <v>1206</v>
      </c>
      <c r="D107" s="206" t="str">
        <f t="shared" si="3"/>
        <v>滋賀100え507</v>
      </c>
      <c r="E107" s="205" t="s">
        <v>1309</v>
      </c>
      <c r="F107" s="206" t="s">
        <v>647</v>
      </c>
      <c r="G107" s="206" t="s">
        <v>1303</v>
      </c>
      <c r="H107" s="206" t="s">
        <v>344</v>
      </c>
      <c r="I107" s="206" t="s">
        <v>1307</v>
      </c>
      <c r="J107" s="206" t="s">
        <v>1310</v>
      </c>
      <c r="K107" s="206" t="s">
        <v>356</v>
      </c>
      <c r="L107" s="206" t="s">
        <v>162</v>
      </c>
      <c r="M107" s="206" t="s">
        <v>1773</v>
      </c>
      <c r="N107" s="181">
        <v>43085</v>
      </c>
      <c r="O107" s="208">
        <v>236670</v>
      </c>
      <c r="P107" s="209" t="s">
        <v>1224</v>
      </c>
      <c r="Q107" s="205" t="s">
        <v>1769</v>
      </c>
      <c r="R107" s="211" t="s">
        <v>570</v>
      </c>
      <c r="S107" s="205" t="s">
        <v>1176</v>
      </c>
      <c r="T107" s="210" t="s">
        <v>1769</v>
      </c>
      <c r="U107" s="206" t="s">
        <v>1769</v>
      </c>
      <c r="V107" s="206" t="s">
        <v>1769</v>
      </c>
      <c r="W107" s="205" t="s">
        <v>1769</v>
      </c>
      <c r="X107" s="205" t="s">
        <v>1769</v>
      </c>
      <c r="Y107" s="208"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row>
    <row r="108" spans="1:36">
      <c r="A108" s="206">
        <v>508</v>
      </c>
      <c r="B108" s="206" t="s">
        <v>1292</v>
      </c>
      <c r="C108" s="253" t="s">
        <v>1206</v>
      </c>
      <c r="D108" s="206" t="str">
        <f t="shared" si="3"/>
        <v>滋賀100え508</v>
      </c>
      <c r="E108" s="205" t="s">
        <v>1309</v>
      </c>
      <c r="F108" s="206" t="s">
        <v>647</v>
      </c>
      <c r="G108" s="206" t="s">
        <v>1303</v>
      </c>
      <c r="H108" s="206" t="s">
        <v>345</v>
      </c>
      <c r="I108" s="206" t="s">
        <v>1307</v>
      </c>
      <c r="J108" s="206" t="s">
        <v>1310</v>
      </c>
      <c r="K108" s="206" t="s">
        <v>356</v>
      </c>
      <c r="L108" s="265" t="s">
        <v>162</v>
      </c>
      <c r="M108" s="206" t="s">
        <v>1769</v>
      </c>
      <c r="N108" s="206" t="s">
        <v>1769</v>
      </c>
      <c r="O108" s="208" t="s">
        <v>1769</v>
      </c>
      <c r="P108" s="209" t="s">
        <v>1224</v>
      </c>
      <c r="Q108" s="205" t="s">
        <v>1769</v>
      </c>
      <c r="R108" s="211" t="s">
        <v>570</v>
      </c>
      <c r="S108" s="205" t="s">
        <v>1176</v>
      </c>
      <c r="T108" s="210" t="s">
        <v>1769</v>
      </c>
      <c r="U108" s="206" t="s">
        <v>1769</v>
      </c>
      <c r="V108" s="206" t="s">
        <v>1769</v>
      </c>
      <c r="W108" s="205" t="s">
        <v>1769</v>
      </c>
      <c r="X108" s="205" t="s">
        <v>1769</v>
      </c>
      <c r="Y108" s="208"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row>
    <row r="109" spans="1:36">
      <c r="A109" s="206">
        <v>509</v>
      </c>
      <c r="B109" s="206" t="s">
        <v>1292</v>
      </c>
      <c r="C109" s="253" t="s">
        <v>1206</v>
      </c>
      <c r="D109" s="206" t="str">
        <f t="shared" si="3"/>
        <v>滋賀100え509</v>
      </c>
      <c r="E109" s="205" t="s">
        <v>1309</v>
      </c>
      <c r="F109" s="206" t="s">
        <v>647</v>
      </c>
      <c r="G109" s="206" t="s">
        <v>1303</v>
      </c>
      <c r="H109" s="206" t="s">
        <v>346</v>
      </c>
      <c r="I109" s="206" t="s">
        <v>1307</v>
      </c>
      <c r="J109" s="206" t="s">
        <v>1310</v>
      </c>
      <c r="K109" s="206" t="s">
        <v>356</v>
      </c>
      <c r="L109" s="265" t="s">
        <v>162</v>
      </c>
      <c r="M109" s="206" t="s">
        <v>1769</v>
      </c>
      <c r="N109" s="206" t="s">
        <v>1769</v>
      </c>
      <c r="O109" s="208" t="s">
        <v>1769</v>
      </c>
      <c r="P109" s="209" t="s">
        <v>1224</v>
      </c>
      <c r="Q109" s="205" t="s">
        <v>1769</v>
      </c>
      <c r="R109" s="211" t="s">
        <v>570</v>
      </c>
      <c r="S109" s="205" t="s">
        <v>1176</v>
      </c>
      <c r="T109" s="210" t="s">
        <v>1769</v>
      </c>
      <c r="U109" s="206" t="s">
        <v>1769</v>
      </c>
      <c r="V109" s="206" t="s">
        <v>1769</v>
      </c>
      <c r="W109" s="205" t="s">
        <v>1769</v>
      </c>
      <c r="X109" s="205" t="s">
        <v>1769</v>
      </c>
      <c r="Y109" s="208"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row>
    <row r="110" spans="1:36" ht="22.5">
      <c r="A110" s="209">
        <v>5608</v>
      </c>
      <c r="B110" s="209" t="s">
        <v>1311</v>
      </c>
      <c r="C110" s="253" t="s">
        <v>1206</v>
      </c>
      <c r="D110" s="206" t="str">
        <f t="shared" si="3"/>
        <v>滋賀100か5608</v>
      </c>
      <c r="E110" s="210" t="s">
        <v>1302</v>
      </c>
      <c r="F110" s="210" t="s">
        <v>594</v>
      </c>
      <c r="G110" s="210" t="s">
        <v>1772</v>
      </c>
      <c r="H110" s="209" t="s">
        <v>205</v>
      </c>
      <c r="I110" s="218" t="s">
        <v>1313</v>
      </c>
      <c r="J110" s="218" t="s">
        <v>1314</v>
      </c>
      <c r="K110" s="209" t="s">
        <v>170</v>
      </c>
      <c r="L110" s="265" t="s">
        <v>162</v>
      </c>
      <c r="M110" s="206" t="s">
        <v>1769</v>
      </c>
      <c r="N110" s="206" t="s">
        <v>1769</v>
      </c>
      <c r="O110" s="208" t="s">
        <v>1769</v>
      </c>
      <c r="P110" s="209" t="s">
        <v>1224</v>
      </c>
      <c r="Q110" s="205" t="s">
        <v>1205</v>
      </c>
      <c r="R110" s="211" t="s">
        <v>405</v>
      </c>
      <c r="S110" s="205" t="s">
        <v>1176</v>
      </c>
      <c r="T110" s="210" t="s">
        <v>1312</v>
      </c>
      <c r="U110" s="206" t="s">
        <v>1769</v>
      </c>
      <c r="V110" s="206" t="s">
        <v>1769</v>
      </c>
      <c r="W110" s="205" t="s">
        <v>1769</v>
      </c>
      <c r="X110" s="205" t="s">
        <v>1769</v>
      </c>
      <c r="Y110" s="208"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row>
    <row r="111" spans="1:36" ht="22.5">
      <c r="A111" s="209">
        <v>5910</v>
      </c>
      <c r="B111" s="209" t="s">
        <v>1311</v>
      </c>
      <c r="C111" s="253" t="s">
        <v>1206</v>
      </c>
      <c r="D111" s="206" t="str">
        <f t="shared" si="3"/>
        <v>滋賀100か5910</v>
      </c>
      <c r="E111" s="210" t="s">
        <v>1283</v>
      </c>
      <c r="F111" s="210" t="s">
        <v>594</v>
      </c>
      <c r="G111" s="210" t="s">
        <v>1772</v>
      </c>
      <c r="H111" s="209" t="s">
        <v>654</v>
      </c>
      <c r="I111" s="218" t="s">
        <v>1315</v>
      </c>
      <c r="J111" s="218" t="s">
        <v>1316</v>
      </c>
      <c r="K111" s="209" t="s">
        <v>170</v>
      </c>
      <c r="L111" s="265" t="s">
        <v>162</v>
      </c>
      <c r="M111" s="206" t="s">
        <v>1769</v>
      </c>
      <c r="N111" s="206" t="s">
        <v>1769</v>
      </c>
      <c r="O111" s="208" t="s">
        <v>1769</v>
      </c>
      <c r="P111" s="209" t="s">
        <v>1224</v>
      </c>
      <c r="Q111" s="205" t="s">
        <v>1205</v>
      </c>
      <c r="R111" s="211" t="s">
        <v>405</v>
      </c>
      <c r="S111" s="205" t="s">
        <v>1176</v>
      </c>
      <c r="T111" s="210" t="s">
        <v>1312</v>
      </c>
      <c r="U111" s="206" t="s">
        <v>1769</v>
      </c>
      <c r="V111" s="206" t="s">
        <v>1769</v>
      </c>
      <c r="W111" s="205" t="s">
        <v>1769</v>
      </c>
      <c r="X111" s="205" t="s">
        <v>1769</v>
      </c>
      <c r="Y111" s="208"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row>
    <row r="112" spans="1:36">
      <c r="A112" s="206">
        <v>7336</v>
      </c>
      <c r="B112" s="206" t="s">
        <v>1311</v>
      </c>
      <c r="C112" s="253" t="s">
        <v>1206</v>
      </c>
      <c r="D112" s="206" t="str">
        <f t="shared" si="3"/>
        <v>滋賀100か7336</v>
      </c>
      <c r="E112" s="205" t="s">
        <v>1318</v>
      </c>
      <c r="F112" s="206" t="s">
        <v>657</v>
      </c>
      <c r="G112" s="206" t="s">
        <v>1234</v>
      </c>
      <c r="H112" s="206" t="s">
        <v>658</v>
      </c>
      <c r="I112" s="206" t="s">
        <v>1319</v>
      </c>
      <c r="J112" s="206" t="s">
        <v>1233</v>
      </c>
      <c r="K112" s="206" t="s">
        <v>367</v>
      </c>
      <c r="L112" s="206" t="s">
        <v>162</v>
      </c>
      <c r="M112" s="206" t="s">
        <v>1773</v>
      </c>
      <c r="N112" s="181">
        <v>42922</v>
      </c>
      <c r="O112" s="208">
        <v>234150</v>
      </c>
      <c r="P112" s="209" t="s">
        <v>1224</v>
      </c>
      <c r="Q112" s="205" t="s">
        <v>1205</v>
      </c>
      <c r="R112" s="211" t="s">
        <v>1769</v>
      </c>
      <c r="S112" s="205" t="s">
        <v>1176</v>
      </c>
      <c r="T112" s="205" t="s">
        <v>325</v>
      </c>
      <c r="U112" s="206" t="s">
        <v>1769</v>
      </c>
      <c r="V112" s="206" t="s">
        <v>1769</v>
      </c>
      <c r="W112" s="205" t="s">
        <v>1769</v>
      </c>
      <c r="X112" s="205" t="s">
        <v>1769</v>
      </c>
      <c r="Y112" s="208"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row>
    <row r="113" spans="1:36" ht="22.5">
      <c r="A113" s="206">
        <v>7633</v>
      </c>
      <c r="B113" s="206" t="s">
        <v>1320</v>
      </c>
      <c r="C113" s="253" t="s">
        <v>1324</v>
      </c>
      <c r="D113" s="206" t="str">
        <f t="shared" si="3"/>
        <v>滋賀100か7633</v>
      </c>
      <c r="E113" s="205" t="s">
        <v>1321</v>
      </c>
      <c r="F113" s="206" t="s">
        <v>664</v>
      </c>
      <c r="G113" s="206" t="s">
        <v>1234</v>
      </c>
      <c r="H113" s="206" t="s">
        <v>328</v>
      </c>
      <c r="I113" s="218" t="s">
        <v>1322</v>
      </c>
      <c r="J113" s="218" t="s">
        <v>1323</v>
      </c>
      <c r="K113" s="209" t="s">
        <v>170</v>
      </c>
      <c r="L113" s="206" t="s">
        <v>162</v>
      </c>
      <c r="M113" s="206" t="s">
        <v>1776</v>
      </c>
      <c r="N113" s="181">
        <v>42285</v>
      </c>
      <c r="O113" s="208">
        <v>69984</v>
      </c>
      <c r="P113" s="209" t="s">
        <v>1224</v>
      </c>
      <c r="Q113" s="205" t="s">
        <v>1205</v>
      </c>
      <c r="R113" s="211" t="s">
        <v>1769</v>
      </c>
      <c r="S113" s="205" t="s">
        <v>1176</v>
      </c>
      <c r="T113" s="210" t="s">
        <v>1226</v>
      </c>
      <c r="U113" s="206" t="s">
        <v>1769</v>
      </c>
      <c r="V113" s="206" t="s">
        <v>1769</v>
      </c>
      <c r="W113" s="205" t="s">
        <v>1769</v>
      </c>
      <c r="X113" s="205" t="s">
        <v>1769</v>
      </c>
      <c r="Y113" s="208"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row>
    <row r="114" spans="1:36" ht="22.5">
      <c r="A114" s="205">
        <v>8096</v>
      </c>
      <c r="B114" s="205" t="s">
        <v>1320</v>
      </c>
      <c r="C114" s="253" t="s">
        <v>1206</v>
      </c>
      <c r="D114" s="206" t="str">
        <f t="shared" si="3"/>
        <v>滋賀100か8096</v>
      </c>
      <c r="E114" s="205" t="s">
        <v>1325</v>
      </c>
      <c r="F114" s="205" t="s">
        <v>769</v>
      </c>
      <c r="G114" s="205" t="s">
        <v>1772</v>
      </c>
      <c r="H114" s="209" t="s">
        <v>677</v>
      </c>
      <c r="I114" s="207" t="s">
        <v>1326</v>
      </c>
      <c r="J114" s="207" t="s">
        <v>1327</v>
      </c>
      <c r="K114" s="205" t="s">
        <v>1769</v>
      </c>
      <c r="L114" s="206" t="s">
        <v>162</v>
      </c>
      <c r="M114" s="206" t="s">
        <v>1776</v>
      </c>
      <c r="N114" s="181">
        <v>42489</v>
      </c>
      <c r="O114" s="212">
        <v>86400</v>
      </c>
      <c r="P114" s="205" t="s">
        <v>1224</v>
      </c>
      <c r="Q114" s="205" t="s">
        <v>1205</v>
      </c>
      <c r="R114" s="213">
        <v>5098</v>
      </c>
      <c r="S114" s="205" t="s">
        <v>1176</v>
      </c>
      <c r="T114" s="205" t="s">
        <v>1769</v>
      </c>
      <c r="U114" s="205" t="s">
        <v>1769</v>
      </c>
      <c r="V114" s="205" t="s">
        <v>1769</v>
      </c>
      <c r="W114" s="205" t="s">
        <v>1769</v>
      </c>
      <c r="X114" s="205" t="s">
        <v>1769</v>
      </c>
      <c r="Y114" s="212"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row>
    <row r="115" spans="1:36">
      <c r="A115" s="205">
        <v>8760</v>
      </c>
      <c r="B115" s="206" t="s">
        <v>1157</v>
      </c>
      <c r="C115" s="253" t="s">
        <v>1206</v>
      </c>
      <c r="D115" s="206" t="str">
        <f t="shared" si="3"/>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20" t="s">
        <v>1769</v>
      </c>
      <c r="P115" s="206" t="s">
        <v>400</v>
      </c>
      <c r="Q115" s="205" t="s">
        <v>1769</v>
      </c>
      <c r="R115" s="205" t="s">
        <v>1769</v>
      </c>
      <c r="S115" s="205" t="s">
        <v>1184</v>
      </c>
      <c r="T115" s="205" t="s">
        <v>1769</v>
      </c>
      <c r="U115" s="205" t="s">
        <v>1769</v>
      </c>
      <c r="V115" s="205" t="s">
        <v>1769</v>
      </c>
      <c r="W115" s="205" t="s">
        <v>1769</v>
      </c>
      <c r="X115" s="205" t="s">
        <v>1769</v>
      </c>
      <c r="Y115" s="221"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row>
    <row r="116" spans="1:36">
      <c r="A116" s="205">
        <v>2677</v>
      </c>
      <c r="B116" s="206" t="s">
        <v>1154</v>
      </c>
      <c r="C116" s="253" t="s">
        <v>1206</v>
      </c>
      <c r="D116" s="206" t="str">
        <f t="shared" si="3"/>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20" t="s">
        <v>1769</v>
      </c>
      <c r="P116" s="206" t="s">
        <v>400</v>
      </c>
      <c r="Q116" s="205" t="s">
        <v>1769</v>
      </c>
      <c r="R116" s="205" t="s">
        <v>1769</v>
      </c>
      <c r="S116" s="205" t="s">
        <v>1184</v>
      </c>
      <c r="T116" s="205" t="s">
        <v>1769</v>
      </c>
      <c r="U116" s="205" t="s">
        <v>1769</v>
      </c>
      <c r="V116" s="205" t="s">
        <v>1769</v>
      </c>
      <c r="W116" s="205" t="s">
        <v>1769</v>
      </c>
      <c r="X116" s="205" t="s">
        <v>1769</v>
      </c>
      <c r="Y116" s="221"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row>
    <row r="117" spans="1:36">
      <c r="A117" s="205">
        <v>1335</v>
      </c>
      <c r="B117" s="206" t="s">
        <v>1152</v>
      </c>
      <c r="C117" s="253" t="s">
        <v>1206</v>
      </c>
      <c r="D117" s="206" t="str">
        <f t="shared" si="3"/>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20" t="s">
        <v>1769</v>
      </c>
      <c r="P117" s="206" t="s">
        <v>1054</v>
      </c>
      <c r="Q117" s="205" t="s">
        <v>1769</v>
      </c>
      <c r="R117" s="205" t="s">
        <v>1769</v>
      </c>
      <c r="S117" s="205" t="s">
        <v>1184</v>
      </c>
      <c r="T117" s="205" t="s">
        <v>1769</v>
      </c>
      <c r="U117" s="205" t="s">
        <v>1769</v>
      </c>
      <c r="V117" s="205" t="s">
        <v>1769</v>
      </c>
      <c r="W117" s="205" t="s">
        <v>1769</v>
      </c>
      <c r="X117" s="205" t="s">
        <v>1769</v>
      </c>
      <c r="Y117" s="221"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row>
    <row r="118" spans="1:36">
      <c r="A118" s="205">
        <v>7214</v>
      </c>
      <c r="B118" s="206" t="s">
        <v>1156</v>
      </c>
      <c r="C118" s="253" t="s">
        <v>1206</v>
      </c>
      <c r="D118" s="206" t="str">
        <f t="shared" si="3"/>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20" t="s">
        <v>1769</v>
      </c>
      <c r="P118" s="206" t="s">
        <v>402</v>
      </c>
      <c r="Q118" s="205" t="s">
        <v>1769</v>
      </c>
      <c r="R118" s="205" t="s">
        <v>1769</v>
      </c>
      <c r="S118" s="205" t="s">
        <v>1184</v>
      </c>
      <c r="T118" s="205" t="s">
        <v>1769</v>
      </c>
      <c r="U118" s="205" t="s">
        <v>1769</v>
      </c>
      <c r="V118" s="205" t="s">
        <v>1769</v>
      </c>
      <c r="W118" s="205" t="s">
        <v>1769</v>
      </c>
      <c r="X118" s="205" t="s">
        <v>1769</v>
      </c>
      <c r="Y118" s="221"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row>
    <row r="119" spans="1:36" ht="22.5">
      <c r="A119" s="205">
        <v>5794</v>
      </c>
      <c r="B119" s="206" t="s">
        <v>1153</v>
      </c>
      <c r="C119" s="253" t="s">
        <v>1206</v>
      </c>
      <c r="D119" s="206" t="str">
        <f t="shared" si="3"/>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20" t="s">
        <v>1769</v>
      </c>
      <c r="P119" s="206" t="s">
        <v>402</v>
      </c>
      <c r="Q119" s="205" t="s">
        <v>1769</v>
      </c>
      <c r="R119" s="205" t="s">
        <v>1769</v>
      </c>
      <c r="S119" s="205" t="s">
        <v>1184</v>
      </c>
      <c r="T119" s="205" t="s">
        <v>1769</v>
      </c>
      <c r="U119" s="205" t="s">
        <v>1769</v>
      </c>
      <c r="V119" s="205" t="s">
        <v>1769</v>
      </c>
      <c r="W119" s="205" t="s">
        <v>1769</v>
      </c>
      <c r="X119" s="205" t="s">
        <v>1769</v>
      </c>
      <c r="Y119" s="268"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row>
    <row r="120" spans="1:36" ht="22.5">
      <c r="A120" s="205">
        <v>6044</v>
      </c>
      <c r="B120" s="206" t="s">
        <v>1159</v>
      </c>
      <c r="C120" s="253" t="s">
        <v>1206</v>
      </c>
      <c r="D120" s="206" t="str">
        <f t="shared" si="3"/>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row>
    <row r="121" spans="1:36">
      <c r="A121" s="206">
        <v>2655</v>
      </c>
      <c r="B121" s="206" t="s">
        <v>503</v>
      </c>
      <c r="C121" s="253" t="s">
        <v>1206</v>
      </c>
      <c r="D121" s="206" t="str">
        <f t="shared" si="3"/>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row>
    <row r="122" spans="1:36">
      <c r="A122" s="206">
        <v>2663</v>
      </c>
      <c r="B122" s="205" t="s">
        <v>1378</v>
      </c>
      <c r="C122" s="253" t="s">
        <v>1206</v>
      </c>
      <c r="D122" s="206" t="str">
        <f t="shared" si="3"/>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row>
    <row r="123" spans="1:36">
      <c r="A123" s="206">
        <v>2897</v>
      </c>
      <c r="B123" s="206" t="s">
        <v>1378</v>
      </c>
      <c r="C123" s="253" t="s">
        <v>1206</v>
      </c>
      <c r="D123" s="206" t="str">
        <f t="shared" si="3"/>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row>
    <row r="124" spans="1:36" ht="22.5">
      <c r="A124" s="205">
        <v>3817</v>
      </c>
      <c r="B124" s="205" t="s">
        <v>1378</v>
      </c>
      <c r="C124" s="254" t="s">
        <v>1758</v>
      </c>
      <c r="D124" s="206" t="str">
        <f t="shared" si="3"/>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row>
    <row r="125" spans="1:36" ht="22.5">
      <c r="A125" s="205">
        <v>7368</v>
      </c>
      <c r="B125" s="205" t="s">
        <v>1385</v>
      </c>
      <c r="C125" s="253" t="s">
        <v>1206</v>
      </c>
      <c r="D125" s="206" t="str">
        <f t="shared" si="3"/>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row>
    <row r="126" spans="1:36" ht="22.5">
      <c r="A126" s="205">
        <v>7466</v>
      </c>
      <c r="B126" s="205" t="s">
        <v>1385</v>
      </c>
      <c r="C126" s="253" t="s">
        <v>1206</v>
      </c>
      <c r="D126" s="206" t="str">
        <f t="shared" si="3"/>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row>
    <row r="127" spans="1:36">
      <c r="A127" s="205">
        <v>7525</v>
      </c>
      <c r="B127" s="205" t="s">
        <v>1385</v>
      </c>
      <c r="C127" s="253" t="s">
        <v>1206</v>
      </c>
      <c r="D127" s="206" t="str">
        <f t="shared" si="3"/>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row>
    <row r="128" spans="1:36">
      <c r="A128" s="205">
        <v>7529</v>
      </c>
      <c r="B128" s="205" t="s">
        <v>1385</v>
      </c>
      <c r="C128" s="253" t="s">
        <v>1206</v>
      </c>
      <c r="D128" s="206" t="str">
        <f t="shared" si="3"/>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row>
    <row r="129" spans="1:36">
      <c r="A129" s="205">
        <v>7530</v>
      </c>
      <c r="B129" s="205" t="s">
        <v>1385</v>
      </c>
      <c r="C129" s="253" t="s">
        <v>1206</v>
      </c>
      <c r="D129" s="206" t="str">
        <f t="shared" si="3"/>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row>
    <row r="130" spans="1:36" ht="22.5">
      <c r="A130" s="205">
        <v>7605</v>
      </c>
      <c r="B130" s="205" t="s">
        <v>1385</v>
      </c>
      <c r="C130" s="254" t="s">
        <v>1759</v>
      </c>
      <c r="D130" s="206" t="str">
        <f t="shared" ref="D130:D151" si="4">CONCATENATE(B130,A130)</f>
        <v>習志野100か7605</v>
      </c>
      <c r="E130" s="205" t="s">
        <v>1401</v>
      </c>
      <c r="F130" s="205" t="s">
        <v>1402</v>
      </c>
      <c r="G130" s="205" t="s">
        <v>1400</v>
      </c>
      <c r="H130" s="206" t="s">
        <v>750</v>
      </c>
      <c r="I130" s="207" t="s">
        <v>1403</v>
      </c>
      <c r="J130" s="207" t="s">
        <v>1404</v>
      </c>
      <c r="K130" s="205" t="s">
        <v>1769</v>
      </c>
      <c r="L130" s="206" t="s">
        <v>162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457</v>
      </c>
      <c r="AD130" s="209" t="s">
        <v>323</v>
      </c>
      <c r="AE130" s="246" t="s">
        <v>1769</v>
      </c>
      <c r="AF130" s="246">
        <v>428500</v>
      </c>
      <c r="AG130" s="246">
        <v>529300</v>
      </c>
      <c r="AH130" s="246" t="s">
        <v>1769</v>
      </c>
      <c r="AI130" s="246" t="s">
        <v>1769</v>
      </c>
      <c r="AJ130" s="246" t="s">
        <v>1769</v>
      </c>
    </row>
    <row r="131" spans="1:36">
      <c r="A131" s="206">
        <v>7751</v>
      </c>
      <c r="B131" s="206" t="s">
        <v>1385</v>
      </c>
      <c r="C131" s="253" t="s">
        <v>1406</v>
      </c>
      <c r="D131" s="206" t="str">
        <f t="shared" si="4"/>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457</v>
      </c>
      <c r="AD131" s="209" t="s">
        <v>323</v>
      </c>
      <c r="AE131" s="246" t="s">
        <v>1769</v>
      </c>
      <c r="AF131" s="246">
        <v>785600</v>
      </c>
      <c r="AG131" s="246">
        <v>906400</v>
      </c>
      <c r="AH131" s="246" t="s">
        <v>1769</v>
      </c>
      <c r="AI131" s="246" t="s">
        <v>1769</v>
      </c>
      <c r="AJ131" s="246" t="s">
        <v>1769</v>
      </c>
    </row>
    <row r="132" spans="1:36">
      <c r="A132" s="269">
        <v>8124</v>
      </c>
      <c r="B132" s="269" t="s">
        <v>1170</v>
      </c>
      <c r="C132" s="269" t="s">
        <v>1763</v>
      </c>
      <c r="D132" s="269" t="str">
        <f t="shared" si="4"/>
        <v>習志野400た8124</v>
      </c>
      <c r="E132" s="269" t="s">
        <v>1246</v>
      </c>
      <c r="F132" s="269" t="s">
        <v>1466</v>
      </c>
      <c r="G132" s="269" t="s">
        <v>1331</v>
      </c>
      <c r="H132" s="269" t="s">
        <v>1467</v>
      </c>
      <c r="I132" s="269" t="s">
        <v>1769</v>
      </c>
      <c r="J132" s="269" t="s">
        <v>1769</v>
      </c>
      <c r="K132" s="269" t="s">
        <v>1215</v>
      </c>
      <c r="L132" s="269" t="s">
        <v>287</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294</v>
      </c>
      <c r="AD132" s="269" t="s">
        <v>1825</v>
      </c>
      <c r="AE132" s="269" t="s">
        <v>1769</v>
      </c>
      <c r="AF132" s="269" t="s">
        <v>1769</v>
      </c>
      <c r="AG132" s="269" t="s">
        <v>1769</v>
      </c>
      <c r="AH132" s="269" t="s">
        <v>1769</v>
      </c>
      <c r="AI132" s="269" t="s">
        <v>1769</v>
      </c>
      <c r="AJ132" s="269" t="s">
        <v>1769</v>
      </c>
    </row>
    <row r="133" spans="1:36">
      <c r="A133" s="269">
        <v>8251</v>
      </c>
      <c r="B133" s="269" t="s">
        <v>1171</v>
      </c>
      <c r="C133" s="269" t="s">
        <v>1763</v>
      </c>
      <c r="D133" s="269" t="str">
        <f t="shared" si="4"/>
        <v>名古屋80あ8251</v>
      </c>
      <c r="E133" s="269" t="s">
        <v>1073</v>
      </c>
      <c r="F133" s="269" t="s">
        <v>1092</v>
      </c>
      <c r="G133" s="269" t="s">
        <v>1142</v>
      </c>
      <c r="H133" s="269" t="s">
        <v>1143</v>
      </c>
      <c r="I133" s="269" t="s">
        <v>1769</v>
      </c>
      <c r="J133" s="269" t="s">
        <v>1769</v>
      </c>
      <c r="K133" s="269" t="s">
        <v>1804</v>
      </c>
      <c r="L133" s="269" t="s">
        <v>287</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row>
    <row r="134" spans="1:36">
      <c r="A134" s="206">
        <v>4409</v>
      </c>
      <c r="B134" s="206" t="s">
        <v>505</v>
      </c>
      <c r="C134" s="253" t="s">
        <v>1805</v>
      </c>
      <c r="D134" s="219" t="str">
        <f t="shared" si="4"/>
        <v>宮城100き4409</v>
      </c>
      <c r="E134" s="206" t="s">
        <v>194</v>
      </c>
      <c r="F134" s="206" t="s">
        <v>1513</v>
      </c>
      <c r="G134" s="206" t="s">
        <v>324</v>
      </c>
      <c r="H134" s="219" t="s">
        <v>1514</v>
      </c>
      <c r="I134" s="206" t="s">
        <v>1769</v>
      </c>
      <c r="J134" s="206" t="s">
        <v>1769</v>
      </c>
      <c r="K134" s="206" t="s">
        <v>368</v>
      </c>
      <c r="L134" s="265" t="s">
        <v>162</v>
      </c>
      <c r="M134" s="206" t="s">
        <v>1769</v>
      </c>
      <c r="N134" s="206" t="s">
        <v>1769</v>
      </c>
      <c r="O134" s="206" t="s">
        <v>1769</v>
      </c>
      <c r="P134" s="206" t="s">
        <v>400</v>
      </c>
      <c r="Q134" s="206" t="s">
        <v>404</v>
      </c>
      <c r="R134" s="206" t="s">
        <v>1769</v>
      </c>
      <c r="S134" s="206" t="s">
        <v>1769</v>
      </c>
      <c r="T134" s="206" t="s">
        <v>1512</v>
      </c>
      <c r="U134" s="206" t="s">
        <v>1769</v>
      </c>
      <c r="V134" s="206" t="s">
        <v>1769</v>
      </c>
      <c r="W134" s="206" t="s">
        <v>1769</v>
      </c>
      <c r="X134" s="206" t="s">
        <v>1750</v>
      </c>
      <c r="Y134" s="206" t="s">
        <v>1769</v>
      </c>
      <c r="Z134" s="206" t="s">
        <v>1769</v>
      </c>
      <c r="AA134" s="206" t="s">
        <v>1769</v>
      </c>
      <c r="AB134" s="206" t="s">
        <v>1049</v>
      </c>
      <c r="AC134" s="205" t="s">
        <v>1826</v>
      </c>
      <c r="AD134" s="205" t="s">
        <v>1826</v>
      </c>
      <c r="AE134" s="246" t="s">
        <v>1769</v>
      </c>
      <c r="AF134" s="246" t="s">
        <v>1769</v>
      </c>
      <c r="AG134" s="246" t="s">
        <v>1769</v>
      </c>
      <c r="AH134" s="246" t="s">
        <v>1769</v>
      </c>
      <c r="AI134" s="246" t="s">
        <v>1769</v>
      </c>
      <c r="AJ134" s="246" t="s">
        <v>1769</v>
      </c>
    </row>
    <row r="135" spans="1:36" ht="13.5">
      <c r="A135" s="206">
        <v>2720</v>
      </c>
      <c r="B135" s="206" t="s">
        <v>512</v>
      </c>
      <c r="C135" s="253" t="s">
        <v>1805</v>
      </c>
      <c r="D135" s="219" t="str">
        <f t="shared" si="4"/>
        <v>宮城400あ2720</v>
      </c>
      <c r="E135" s="206" t="s">
        <v>195</v>
      </c>
      <c r="F135" s="206" t="s">
        <v>1330</v>
      </c>
      <c r="G135" s="206" t="s">
        <v>1328</v>
      </c>
      <c r="H135" s="219" t="s">
        <v>1516</v>
      </c>
      <c r="I135" s="206" t="s">
        <v>1769</v>
      </c>
      <c r="J135" s="206" t="s">
        <v>1769</v>
      </c>
      <c r="K135" s="206" t="s">
        <v>1806</v>
      </c>
      <c r="L135" s="265" t="s">
        <v>162</v>
      </c>
      <c r="M135" s="206" t="s">
        <v>1769</v>
      </c>
      <c r="N135" s="206" t="s">
        <v>1769</v>
      </c>
      <c r="O135" s="206" t="s">
        <v>1769</v>
      </c>
      <c r="P135" s="206" t="s">
        <v>402</v>
      </c>
      <c r="Q135" s="206" t="s">
        <v>401</v>
      </c>
      <c r="R135" s="206" t="s">
        <v>1769</v>
      </c>
      <c r="S135" s="206" t="s">
        <v>1769</v>
      </c>
      <c r="T135" s="206" t="s">
        <v>1515</v>
      </c>
      <c r="U135" s="206" t="s">
        <v>1769</v>
      </c>
      <c r="V135" s="206" t="s">
        <v>1769</v>
      </c>
      <c r="W135" s="247" t="s">
        <v>1769</v>
      </c>
      <c r="X135" s="206" t="s">
        <v>1768</v>
      </c>
      <c r="Y135" s="206" t="s">
        <v>1769</v>
      </c>
      <c r="Z135" s="206" t="s">
        <v>1769</v>
      </c>
      <c r="AA135" s="206" t="s">
        <v>1769</v>
      </c>
      <c r="AB135" s="206" t="s">
        <v>1049</v>
      </c>
      <c r="AC135" s="205" t="s">
        <v>1826</v>
      </c>
      <c r="AD135" s="205" t="s">
        <v>1826</v>
      </c>
      <c r="AE135" s="205" t="s">
        <v>1769</v>
      </c>
      <c r="AF135" s="246" t="s">
        <v>1769</v>
      </c>
      <c r="AG135" s="246" t="s">
        <v>1769</v>
      </c>
      <c r="AH135" s="246" t="s">
        <v>1769</v>
      </c>
      <c r="AI135" s="246" t="s">
        <v>1769</v>
      </c>
      <c r="AJ135" s="246" t="s">
        <v>1769</v>
      </c>
    </row>
    <row r="136" spans="1:36">
      <c r="A136" s="206">
        <v>4096</v>
      </c>
      <c r="B136" s="206" t="s">
        <v>510</v>
      </c>
      <c r="C136" s="253" t="s">
        <v>1805</v>
      </c>
      <c r="D136" s="219" t="str">
        <f t="shared" si="4"/>
        <v>三河100あ4096</v>
      </c>
      <c r="E136" s="206" t="s">
        <v>186</v>
      </c>
      <c r="F136" s="206" t="s">
        <v>1518</v>
      </c>
      <c r="G136" s="206" t="s">
        <v>172</v>
      </c>
      <c r="H136" s="219" t="s">
        <v>187</v>
      </c>
      <c r="I136" s="206" t="s">
        <v>1769</v>
      </c>
      <c r="J136" s="206" t="s">
        <v>1769</v>
      </c>
      <c r="K136" s="206" t="s">
        <v>181</v>
      </c>
      <c r="L136" s="265" t="s">
        <v>162</v>
      </c>
      <c r="M136" s="206" t="s">
        <v>1769</v>
      </c>
      <c r="N136" s="206" t="s">
        <v>1769</v>
      </c>
      <c r="O136" s="206" t="s">
        <v>1769</v>
      </c>
      <c r="P136" s="206" t="s">
        <v>400</v>
      </c>
      <c r="Q136" s="206" t="s">
        <v>401</v>
      </c>
      <c r="R136" s="206" t="s">
        <v>1769</v>
      </c>
      <c r="S136" s="206" t="s">
        <v>1769</v>
      </c>
      <c r="T136" s="206" t="s">
        <v>1267</v>
      </c>
      <c r="U136" s="206" t="s">
        <v>1769</v>
      </c>
      <c r="V136" s="206" t="s">
        <v>1769</v>
      </c>
      <c r="W136" s="206" t="s">
        <v>1769</v>
      </c>
      <c r="X136" s="206" t="s">
        <v>1147</v>
      </c>
      <c r="Y136" s="206" t="s">
        <v>1769</v>
      </c>
      <c r="Z136" s="206" t="s">
        <v>1769</v>
      </c>
      <c r="AA136" s="206" t="s">
        <v>1769</v>
      </c>
      <c r="AB136" s="206" t="s">
        <v>1049</v>
      </c>
      <c r="AC136" s="205" t="s">
        <v>1826</v>
      </c>
      <c r="AD136" s="205" t="s">
        <v>1826</v>
      </c>
      <c r="AE136" s="248" t="s">
        <v>1769</v>
      </c>
      <c r="AF136" s="246" t="s">
        <v>1769</v>
      </c>
      <c r="AG136" s="246" t="s">
        <v>1769</v>
      </c>
      <c r="AH136" s="246" t="s">
        <v>1769</v>
      </c>
      <c r="AI136" s="246" t="s">
        <v>1769</v>
      </c>
      <c r="AJ136" s="246" t="s">
        <v>1769</v>
      </c>
    </row>
    <row r="137" spans="1:36">
      <c r="A137" s="206">
        <v>747</v>
      </c>
      <c r="B137" s="206" t="s">
        <v>506</v>
      </c>
      <c r="C137" s="253" t="s">
        <v>1805</v>
      </c>
      <c r="D137" s="219" t="str">
        <f t="shared" si="4"/>
        <v>三河100え747</v>
      </c>
      <c r="E137" s="206" t="s">
        <v>394</v>
      </c>
      <c r="F137" s="206" t="s">
        <v>395</v>
      </c>
      <c r="G137" s="206" t="s">
        <v>1787</v>
      </c>
      <c r="H137" s="219" t="s">
        <v>1519</v>
      </c>
      <c r="I137" s="206" t="s">
        <v>1769</v>
      </c>
      <c r="J137" s="206" t="s">
        <v>1769</v>
      </c>
      <c r="K137" s="206" t="s">
        <v>360</v>
      </c>
      <c r="L137" s="265" t="s">
        <v>287</v>
      </c>
      <c r="M137" s="206" t="s">
        <v>1769</v>
      </c>
      <c r="N137" s="206" t="s">
        <v>1769</v>
      </c>
      <c r="O137" s="206" t="s">
        <v>1769</v>
      </c>
      <c r="P137" s="206" t="s">
        <v>400</v>
      </c>
      <c r="Q137" s="206" t="s">
        <v>401</v>
      </c>
      <c r="R137" s="206" t="s">
        <v>1769</v>
      </c>
      <c r="S137" s="206" t="s">
        <v>1769</v>
      </c>
      <c r="T137" s="206" t="s">
        <v>1769</v>
      </c>
      <c r="U137" s="206" t="s">
        <v>1769</v>
      </c>
      <c r="V137" s="206" t="s">
        <v>1769</v>
      </c>
      <c r="W137" s="206" t="s">
        <v>1769</v>
      </c>
      <c r="X137" s="206" t="s">
        <v>1751</v>
      </c>
      <c r="Y137" s="206" t="s">
        <v>1769</v>
      </c>
      <c r="Z137" s="206" t="s">
        <v>1769</v>
      </c>
      <c r="AA137" s="206" t="s">
        <v>1769</v>
      </c>
      <c r="AB137" s="206" t="s">
        <v>1049</v>
      </c>
      <c r="AC137" s="205" t="s">
        <v>1826</v>
      </c>
      <c r="AD137" s="205" t="s">
        <v>1826</v>
      </c>
      <c r="AE137" s="246" t="s">
        <v>1769</v>
      </c>
      <c r="AF137" s="246" t="s">
        <v>1769</v>
      </c>
      <c r="AG137" s="246" t="s">
        <v>1769</v>
      </c>
      <c r="AH137" s="246" t="s">
        <v>1769</v>
      </c>
      <c r="AI137" s="246" t="s">
        <v>1769</v>
      </c>
      <c r="AJ137" s="246" t="s">
        <v>1769</v>
      </c>
    </row>
    <row r="138" spans="1:36">
      <c r="A138" s="206">
        <v>788</v>
      </c>
      <c r="B138" s="206" t="s">
        <v>506</v>
      </c>
      <c r="C138" s="253" t="s">
        <v>1805</v>
      </c>
      <c r="D138" s="219" t="str">
        <f t="shared" si="4"/>
        <v>三河100え788</v>
      </c>
      <c r="E138" s="206" t="s">
        <v>347</v>
      </c>
      <c r="F138" s="206" t="s">
        <v>348</v>
      </c>
      <c r="G138" s="206" t="s">
        <v>1520</v>
      </c>
      <c r="H138" s="219" t="s">
        <v>349</v>
      </c>
      <c r="I138" s="206" t="s">
        <v>1769</v>
      </c>
      <c r="J138" s="206" t="s">
        <v>1769</v>
      </c>
      <c r="K138" s="206" t="s">
        <v>1521</v>
      </c>
      <c r="L138" s="265" t="s">
        <v>162</v>
      </c>
      <c r="M138" s="206" t="s">
        <v>1769</v>
      </c>
      <c r="N138" s="206" t="s">
        <v>1769</v>
      </c>
      <c r="O138" s="206" t="s">
        <v>1769</v>
      </c>
      <c r="P138" s="206" t="s">
        <v>400</v>
      </c>
      <c r="Q138" s="206" t="s">
        <v>401</v>
      </c>
      <c r="R138" s="206" t="s">
        <v>551</v>
      </c>
      <c r="S138" s="206" t="s">
        <v>1769</v>
      </c>
      <c r="T138" s="206" t="s">
        <v>1769</v>
      </c>
      <c r="U138" s="206" t="s">
        <v>1769</v>
      </c>
      <c r="V138" s="206" t="s">
        <v>1769</v>
      </c>
      <c r="W138" s="206" t="s">
        <v>1769</v>
      </c>
      <c r="X138" s="206" t="s">
        <v>1751</v>
      </c>
      <c r="Y138" s="206" t="s">
        <v>1769</v>
      </c>
      <c r="Z138" s="206" t="s">
        <v>1769</v>
      </c>
      <c r="AA138" s="206" t="s">
        <v>1769</v>
      </c>
      <c r="AB138" s="206" t="s">
        <v>1049</v>
      </c>
      <c r="AC138" s="205" t="s">
        <v>1826</v>
      </c>
      <c r="AD138" s="205" t="s">
        <v>1826</v>
      </c>
      <c r="AE138" s="246" t="s">
        <v>1769</v>
      </c>
      <c r="AF138" s="246" t="s">
        <v>1769</v>
      </c>
      <c r="AG138" s="246" t="s">
        <v>1769</v>
      </c>
      <c r="AH138" s="246" t="s">
        <v>1769</v>
      </c>
      <c r="AI138" s="246" t="s">
        <v>1769</v>
      </c>
      <c r="AJ138" s="246" t="s">
        <v>1769</v>
      </c>
    </row>
    <row r="139" spans="1:36">
      <c r="A139" s="206">
        <v>928</v>
      </c>
      <c r="B139" s="206" t="s">
        <v>506</v>
      </c>
      <c r="C139" s="253" t="s">
        <v>1805</v>
      </c>
      <c r="D139" s="219" t="str">
        <f t="shared" si="4"/>
        <v>三河100え928</v>
      </c>
      <c r="E139" s="206" t="s">
        <v>396</v>
      </c>
      <c r="F139" s="206" t="s">
        <v>1522</v>
      </c>
      <c r="G139" s="206" t="s">
        <v>1785</v>
      </c>
      <c r="H139" s="219" t="s">
        <v>1523</v>
      </c>
      <c r="I139" s="206" t="s">
        <v>1769</v>
      </c>
      <c r="J139" s="206" t="s">
        <v>1769</v>
      </c>
      <c r="K139" s="206" t="s">
        <v>360</v>
      </c>
      <c r="L139" s="265" t="s">
        <v>287</v>
      </c>
      <c r="M139" s="206" t="s">
        <v>1769</v>
      </c>
      <c r="N139" s="206" t="s">
        <v>1769</v>
      </c>
      <c r="O139" s="206" t="s">
        <v>1769</v>
      </c>
      <c r="P139" s="206" t="s">
        <v>400</v>
      </c>
      <c r="Q139" s="206" t="s">
        <v>401</v>
      </c>
      <c r="R139" s="206" t="s">
        <v>1769</v>
      </c>
      <c r="S139" s="206" t="s">
        <v>1769</v>
      </c>
      <c r="T139" s="206" t="s">
        <v>1769</v>
      </c>
      <c r="U139" s="206" t="s">
        <v>1769</v>
      </c>
      <c r="V139" s="206" t="s">
        <v>1769</v>
      </c>
      <c r="W139" s="206" t="s">
        <v>1769</v>
      </c>
      <c r="X139" s="206" t="s">
        <v>1751</v>
      </c>
      <c r="Y139" s="206" t="s">
        <v>1769</v>
      </c>
      <c r="Z139" s="206" t="s">
        <v>1769</v>
      </c>
      <c r="AA139" s="206" t="s">
        <v>1769</v>
      </c>
      <c r="AB139" s="206" t="s">
        <v>1049</v>
      </c>
      <c r="AC139" s="205" t="s">
        <v>1826</v>
      </c>
      <c r="AD139" s="205" t="s">
        <v>1826</v>
      </c>
      <c r="AE139" s="246" t="s">
        <v>1769</v>
      </c>
      <c r="AF139" s="246" t="s">
        <v>1769</v>
      </c>
      <c r="AG139" s="246" t="s">
        <v>1769</v>
      </c>
      <c r="AH139" s="246" t="s">
        <v>1769</v>
      </c>
      <c r="AI139" s="246" t="s">
        <v>1769</v>
      </c>
      <c r="AJ139" s="246" t="s">
        <v>1769</v>
      </c>
    </row>
    <row r="140" spans="1:36">
      <c r="A140" s="206">
        <v>929</v>
      </c>
      <c r="B140" s="206" t="s">
        <v>506</v>
      </c>
      <c r="C140" s="253" t="s">
        <v>1805</v>
      </c>
      <c r="D140" s="219" t="str">
        <f t="shared" si="4"/>
        <v>三河100え929</v>
      </c>
      <c r="E140" s="206" t="s">
        <v>397</v>
      </c>
      <c r="F140" s="206" t="s">
        <v>1524</v>
      </c>
      <c r="G140" s="206" t="s">
        <v>331</v>
      </c>
      <c r="H140" s="219" t="s">
        <v>1525</v>
      </c>
      <c r="I140" s="206" t="s">
        <v>1769</v>
      </c>
      <c r="J140" s="206" t="s">
        <v>1769</v>
      </c>
      <c r="K140" s="206" t="s">
        <v>360</v>
      </c>
      <c r="L140" s="265" t="s">
        <v>1769</v>
      </c>
      <c r="M140" s="206" t="s">
        <v>1769</v>
      </c>
      <c r="N140" s="206" t="s">
        <v>1769</v>
      </c>
      <c r="O140" s="206" t="s">
        <v>1769</v>
      </c>
      <c r="P140" s="206" t="s">
        <v>400</v>
      </c>
      <c r="Q140" s="206" t="s">
        <v>401</v>
      </c>
      <c r="R140" s="206" t="s">
        <v>1769</v>
      </c>
      <c r="S140" s="206" t="s">
        <v>1769</v>
      </c>
      <c r="T140" s="206" t="s">
        <v>1769</v>
      </c>
      <c r="U140" s="206" t="s">
        <v>1769</v>
      </c>
      <c r="V140" s="206" t="s">
        <v>1769</v>
      </c>
      <c r="W140" s="206" t="s">
        <v>1769</v>
      </c>
      <c r="X140" s="206" t="s">
        <v>1750</v>
      </c>
      <c r="Y140" s="206" t="s">
        <v>1769</v>
      </c>
      <c r="Z140" s="206" t="s">
        <v>1769</v>
      </c>
      <c r="AA140" s="206" t="s">
        <v>1769</v>
      </c>
      <c r="AB140" s="206" t="s">
        <v>1049</v>
      </c>
      <c r="AC140" s="205" t="s">
        <v>1826</v>
      </c>
      <c r="AD140" s="205" t="s">
        <v>1826</v>
      </c>
      <c r="AE140" s="246" t="s">
        <v>1769</v>
      </c>
      <c r="AF140" s="246" t="s">
        <v>1769</v>
      </c>
      <c r="AG140" s="246" t="s">
        <v>1769</v>
      </c>
      <c r="AH140" s="246" t="s">
        <v>1769</v>
      </c>
      <c r="AI140" s="246" t="s">
        <v>1769</v>
      </c>
      <c r="AJ140" s="246" t="s">
        <v>1769</v>
      </c>
    </row>
    <row r="141" spans="1:36">
      <c r="A141" s="206">
        <v>9606</v>
      </c>
      <c r="B141" s="206" t="s">
        <v>507</v>
      </c>
      <c r="C141" s="253" t="s">
        <v>1805</v>
      </c>
      <c r="D141" s="219" t="str">
        <f t="shared" si="4"/>
        <v>三河100か9606</v>
      </c>
      <c r="E141" s="206" t="s">
        <v>192</v>
      </c>
      <c r="F141" s="206" t="s">
        <v>1526</v>
      </c>
      <c r="G141" s="206" t="s">
        <v>1772</v>
      </c>
      <c r="H141" s="219" t="s">
        <v>1527</v>
      </c>
      <c r="I141" s="206" t="s">
        <v>1769</v>
      </c>
      <c r="J141" s="206" t="s">
        <v>1769</v>
      </c>
      <c r="K141" s="206" t="s">
        <v>1807</v>
      </c>
      <c r="L141" s="265" t="s">
        <v>162</v>
      </c>
      <c r="M141" s="206" t="s">
        <v>1769</v>
      </c>
      <c r="N141" s="206" t="s">
        <v>1769</v>
      </c>
      <c r="O141" s="206" t="s">
        <v>1769</v>
      </c>
      <c r="P141" s="206" t="s">
        <v>400</v>
      </c>
      <c r="Q141" s="206" t="s">
        <v>401</v>
      </c>
      <c r="R141" s="206" t="s">
        <v>1769</v>
      </c>
      <c r="S141" s="206" t="s">
        <v>1769</v>
      </c>
      <c r="T141" s="206" t="s">
        <v>1282</v>
      </c>
      <c r="U141" s="206" t="s">
        <v>1769</v>
      </c>
      <c r="V141" s="206" t="s">
        <v>1769</v>
      </c>
      <c r="W141" s="206" t="s">
        <v>1769</v>
      </c>
      <c r="X141" s="206" t="s">
        <v>1750</v>
      </c>
      <c r="Y141" s="206" t="s">
        <v>1769</v>
      </c>
      <c r="Z141" s="206" t="s">
        <v>1769</v>
      </c>
      <c r="AA141" s="206" t="s">
        <v>1769</v>
      </c>
      <c r="AB141" s="206" t="s">
        <v>1049</v>
      </c>
      <c r="AC141" s="205" t="s">
        <v>1826</v>
      </c>
      <c r="AD141" s="205" t="s">
        <v>1826</v>
      </c>
      <c r="AE141" s="246" t="s">
        <v>1769</v>
      </c>
      <c r="AF141" s="246" t="s">
        <v>1769</v>
      </c>
      <c r="AG141" s="246" t="s">
        <v>1769</v>
      </c>
      <c r="AH141" s="246" t="s">
        <v>1769</v>
      </c>
      <c r="AI141" s="246" t="s">
        <v>1769</v>
      </c>
      <c r="AJ141" s="246" t="s">
        <v>1769</v>
      </c>
    </row>
    <row r="142" spans="1:36">
      <c r="A142" s="215">
        <v>1811</v>
      </c>
      <c r="B142" s="215" t="s">
        <v>1172</v>
      </c>
      <c r="C142" s="215" t="s">
        <v>1763</v>
      </c>
      <c r="D142" s="215" t="str">
        <f t="shared" si="4"/>
        <v>三河502と1811</v>
      </c>
      <c r="E142" s="215" t="s">
        <v>1454</v>
      </c>
      <c r="F142" s="215" t="s">
        <v>1144</v>
      </c>
      <c r="G142" s="215" t="s">
        <v>1328</v>
      </c>
      <c r="H142" s="215" t="s">
        <v>1145</v>
      </c>
      <c r="I142" s="215" t="s">
        <v>1769</v>
      </c>
      <c r="J142" s="215" t="s">
        <v>1769</v>
      </c>
      <c r="K142" s="215" t="s">
        <v>1789</v>
      </c>
      <c r="L142" s="215" t="s">
        <v>1769</v>
      </c>
      <c r="M142" s="215" t="s">
        <v>1091</v>
      </c>
      <c r="N142" s="215" t="s">
        <v>1769</v>
      </c>
      <c r="O142" s="215" t="s">
        <v>1769</v>
      </c>
      <c r="P142" s="215" t="s">
        <v>402</v>
      </c>
      <c r="Q142" s="215" t="s">
        <v>1769</v>
      </c>
      <c r="R142" s="215" t="s">
        <v>1769</v>
      </c>
      <c r="S142" s="215" t="s">
        <v>1183</v>
      </c>
      <c r="T142" s="215" t="s">
        <v>1769</v>
      </c>
      <c r="U142" s="215" t="s">
        <v>1769</v>
      </c>
      <c r="V142" s="215" t="s">
        <v>1769</v>
      </c>
      <c r="W142" s="215" t="s">
        <v>1769</v>
      </c>
      <c r="X142" s="215" t="s">
        <v>1147</v>
      </c>
      <c r="Y142" s="215" t="s">
        <v>1146</v>
      </c>
      <c r="Z142" s="215" t="s">
        <v>1769</v>
      </c>
      <c r="AA142" s="215" t="s">
        <v>1769</v>
      </c>
      <c r="AB142" s="215" t="s">
        <v>1049</v>
      </c>
      <c r="AC142" s="205" t="s">
        <v>1826</v>
      </c>
      <c r="AD142" s="205" t="s">
        <v>1826</v>
      </c>
      <c r="AE142" s="215" t="s">
        <v>1769</v>
      </c>
      <c r="AF142" s="215" t="s">
        <v>1769</v>
      </c>
      <c r="AG142" s="215" t="s">
        <v>1769</v>
      </c>
      <c r="AH142" s="215" t="s">
        <v>1769</v>
      </c>
      <c r="AI142" s="215" t="s">
        <v>1769</v>
      </c>
      <c r="AJ142" s="215" t="s">
        <v>1769</v>
      </c>
    </row>
    <row r="143" spans="1:36">
      <c r="A143" s="206">
        <v>6312</v>
      </c>
      <c r="B143" s="206" t="s">
        <v>508</v>
      </c>
      <c r="C143" s="253" t="s">
        <v>1805</v>
      </c>
      <c r="D143" s="219" t="str">
        <f t="shared" si="4"/>
        <v>滋賀100あ6312</v>
      </c>
      <c r="E143" s="206" t="s">
        <v>295</v>
      </c>
      <c r="F143" s="206" t="s">
        <v>299</v>
      </c>
      <c r="G143" s="206" t="s">
        <v>298</v>
      </c>
      <c r="H143" s="219" t="s">
        <v>1529</v>
      </c>
      <c r="I143" s="206" t="s">
        <v>1769</v>
      </c>
      <c r="J143" s="206" t="s">
        <v>1769</v>
      </c>
      <c r="K143" s="206" t="s">
        <v>300</v>
      </c>
      <c r="L143" s="265" t="s">
        <v>287</v>
      </c>
      <c r="M143" s="206" t="s">
        <v>1769</v>
      </c>
      <c r="N143" s="206" t="s">
        <v>1769</v>
      </c>
      <c r="O143" s="206" t="s">
        <v>1769</v>
      </c>
      <c r="P143" s="206" t="s">
        <v>402</v>
      </c>
      <c r="Q143" s="206" t="s">
        <v>401</v>
      </c>
      <c r="R143" s="206" t="s">
        <v>1769</v>
      </c>
      <c r="S143" s="206" t="s">
        <v>1769</v>
      </c>
      <c r="T143" s="206" t="s">
        <v>1528</v>
      </c>
      <c r="U143" s="206" t="s">
        <v>1769</v>
      </c>
      <c r="V143" s="206" t="s">
        <v>1769</v>
      </c>
      <c r="W143" s="206" t="s">
        <v>1769</v>
      </c>
      <c r="X143" s="206" t="s">
        <v>1751</v>
      </c>
      <c r="Y143" s="206" t="s">
        <v>1769</v>
      </c>
      <c r="Z143" s="206" t="s">
        <v>1769</v>
      </c>
      <c r="AA143" s="206" t="s">
        <v>1769</v>
      </c>
      <c r="AB143" s="206" t="s">
        <v>1049</v>
      </c>
      <c r="AC143" s="205" t="s">
        <v>1826</v>
      </c>
      <c r="AD143" s="205" t="s">
        <v>1826</v>
      </c>
      <c r="AE143" s="246" t="s">
        <v>1769</v>
      </c>
      <c r="AF143" s="246" t="s">
        <v>1769</v>
      </c>
      <c r="AG143" s="246" t="s">
        <v>1769</v>
      </c>
      <c r="AH143" s="246" t="s">
        <v>1769</v>
      </c>
      <c r="AI143" s="246" t="s">
        <v>1769</v>
      </c>
      <c r="AJ143" s="246" t="s">
        <v>1769</v>
      </c>
    </row>
    <row r="144" spans="1:36">
      <c r="A144" s="206">
        <v>9086</v>
      </c>
      <c r="B144" s="206" t="s">
        <v>508</v>
      </c>
      <c r="C144" s="253" t="s">
        <v>1805</v>
      </c>
      <c r="D144" s="219" t="str">
        <f t="shared" si="4"/>
        <v>滋賀100あ9086</v>
      </c>
      <c r="E144" s="206" t="s">
        <v>196</v>
      </c>
      <c r="F144" s="206" t="s">
        <v>1530</v>
      </c>
      <c r="G144" s="206" t="s">
        <v>1808</v>
      </c>
      <c r="H144" s="219" t="s">
        <v>1531</v>
      </c>
      <c r="I144" s="206" t="s">
        <v>1769</v>
      </c>
      <c r="J144" s="206" t="s">
        <v>1769</v>
      </c>
      <c r="K144" s="206" t="s">
        <v>1532</v>
      </c>
      <c r="L144" s="265" t="s">
        <v>162</v>
      </c>
      <c r="M144" s="206" t="s">
        <v>1769</v>
      </c>
      <c r="N144" s="206" t="s">
        <v>1769</v>
      </c>
      <c r="O144" s="206" t="s">
        <v>1769</v>
      </c>
      <c r="P144" s="206" t="s">
        <v>400</v>
      </c>
      <c r="Q144" s="206" t="s">
        <v>401</v>
      </c>
      <c r="R144" s="206" t="s">
        <v>1769</v>
      </c>
      <c r="S144" s="206" t="s">
        <v>1769</v>
      </c>
      <c r="T144" s="206" t="s">
        <v>1282</v>
      </c>
      <c r="U144" s="206" t="s">
        <v>1769</v>
      </c>
      <c r="V144" s="206" t="s">
        <v>1769</v>
      </c>
      <c r="W144" s="206" t="s">
        <v>1769</v>
      </c>
      <c r="X144" s="206" t="s">
        <v>1750</v>
      </c>
      <c r="Y144" s="206" t="s">
        <v>1769</v>
      </c>
      <c r="Z144" s="206" t="s">
        <v>1769</v>
      </c>
      <c r="AA144" s="206" t="s">
        <v>1769</v>
      </c>
      <c r="AB144" s="206" t="s">
        <v>1049</v>
      </c>
      <c r="AC144" s="205" t="s">
        <v>1826</v>
      </c>
      <c r="AD144" s="205" t="s">
        <v>1826</v>
      </c>
      <c r="AE144" s="246" t="s">
        <v>1769</v>
      </c>
      <c r="AF144" s="246" t="s">
        <v>1769</v>
      </c>
      <c r="AG144" s="246" t="s">
        <v>1769</v>
      </c>
      <c r="AH144" s="246" t="s">
        <v>1769</v>
      </c>
      <c r="AI144" s="246" t="s">
        <v>1769</v>
      </c>
      <c r="AJ144" s="246" t="s">
        <v>1769</v>
      </c>
    </row>
    <row r="145" spans="1:36">
      <c r="A145" s="206">
        <v>5595</v>
      </c>
      <c r="B145" s="206" t="s">
        <v>509</v>
      </c>
      <c r="C145" s="253" t="s">
        <v>1805</v>
      </c>
      <c r="D145" s="219" t="str">
        <f t="shared" si="4"/>
        <v>滋賀100か5595</v>
      </c>
      <c r="E145" s="206" t="s">
        <v>195</v>
      </c>
      <c r="F145" s="206" t="s">
        <v>1534</v>
      </c>
      <c r="G145" s="206" t="s">
        <v>171</v>
      </c>
      <c r="H145" s="219" t="s">
        <v>1535</v>
      </c>
      <c r="I145" s="206" t="s">
        <v>1769</v>
      </c>
      <c r="J145" s="206" t="s">
        <v>1769</v>
      </c>
      <c r="K145" s="206" t="s">
        <v>1278</v>
      </c>
      <c r="L145" s="265" t="s">
        <v>162</v>
      </c>
      <c r="M145" s="206" t="s">
        <v>1769</v>
      </c>
      <c r="N145" s="206" t="s">
        <v>1769</v>
      </c>
      <c r="O145" s="206" t="s">
        <v>1769</v>
      </c>
      <c r="P145" s="206" t="s">
        <v>400</v>
      </c>
      <c r="Q145" s="206" t="s">
        <v>401</v>
      </c>
      <c r="R145" s="206" t="s">
        <v>1769</v>
      </c>
      <c r="S145" s="206" t="s">
        <v>1769</v>
      </c>
      <c r="T145" s="206" t="s">
        <v>1533</v>
      </c>
      <c r="U145" s="206" t="s">
        <v>1769</v>
      </c>
      <c r="V145" s="206" t="s">
        <v>1769</v>
      </c>
      <c r="W145" s="206" t="s">
        <v>1769</v>
      </c>
      <c r="X145" s="206" t="s">
        <v>1750</v>
      </c>
      <c r="Y145" s="206" t="s">
        <v>1769</v>
      </c>
      <c r="Z145" s="206" t="s">
        <v>1769</v>
      </c>
      <c r="AA145" s="206" t="s">
        <v>1769</v>
      </c>
      <c r="AB145" s="206" t="s">
        <v>1049</v>
      </c>
      <c r="AC145" s="205" t="s">
        <v>1826</v>
      </c>
      <c r="AD145" s="205" t="s">
        <v>1826</v>
      </c>
      <c r="AE145" s="246" t="s">
        <v>1769</v>
      </c>
      <c r="AF145" s="246">
        <v>874200</v>
      </c>
      <c r="AG145" s="246">
        <v>968200</v>
      </c>
      <c r="AH145" s="246" t="s">
        <v>1769</v>
      </c>
      <c r="AI145" s="246" t="s">
        <v>1769</v>
      </c>
      <c r="AJ145" s="246" t="s">
        <v>1769</v>
      </c>
    </row>
    <row r="146" spans="1:36">
      <c r="A146" s="206">
        <v>6094</v>
      </c>
      <c r="B146" s="206" t="s">
        <v>509</v>
      </c>
      <c r="C146" s="253" t="s">
        <v>1805</v>
      </c>
      <c r="D146" s="219" t="str">
        <f t="shared" si="4"/>
        <v>滋賀100か6094</v>
      </c>
      <c r="E146" s="206" t="s">
        <v>184</v>
      </c>
      <c r="F146" s="206" t="s">
        <v>1537</v>
      </c>
      <c r="G146" s="206" t="s">
        <v>171</v>
      </c>
      <c r="H146" s="219" t="s">
        <v>1538</v>
      </c>
      <c r="I146" s="206" t="s">
        <v>1769</v>
      </c>
      <c r="J146" s="206" t="s">
        <v>1769</v>
      </c>
      <c r="K146" s="206" t="s">
        <v>179</v>
      </c>
      <c r="L146" s="265" t="s">
        <v>162</v>
      </c>
      <c r="M146" s="206" t="s">
        <v>1769</v>
      </c>
      <c r="N146" s="206" t="s">
        <v>1769</v>
      </c>
      <c r="O146" s="206" t="s">
        <v>1769</v>
      </c>
      <c r="P146" s="206" t="s">
        <v>400</v>
      </c>
      <c r="Q146" s="206" t="s">
        <v>401</v>
      </c>
      <c r="R146" s="206" t="s">
        <v>1769</v>
      </c>
      <c r="S146" s="206" t="s">
        <v>1769</v>
      </c>
      <c r="T146" s="206" t="s">
        <v>1536</v>
      </c>
      <c r="U146" s="206" t="s">
        <v>1769</v>
      </c>
      <c r="V146" s="206" t="s">
        <v>1769</v>
      </c>
      <c r="W146" s="206" t="s">
        <v>1769</v>
      </c>
      <c r="X146" s="206" t="s">
        <v>1751</v>
      </c>
      <c r="Y146" s="206" t="s">
        <v>1769</v>
      </c>
      <c r="Z146" s="206" t="s">
        <v>1769</v>
      </c>
      <c r="AA146" s="206" t="s">
        <v>1769</v>
      </c>
      <c r="AB146" s="206" t="s">
        <v>1049</v>
      </c>
      <c r="AC146" s="205" t="s">
        <v>1826</v>
      </c>
      <c r="AD146" s="205" t="s">
        <v>1826</v>
      </c>
      <c r="AE146" s="246" t="s">
        <v>1769</v>
      </c>
      <c r="AF146" s="246" t="s">
        <v>1769</v>
      </c>
      <c r="AG146" s="246" t="s">
        <v>1769</v>
      </c>
      <c r="AH146" s="246" t="s">
        <v>1769</v>
      </c>
      <c r="AI146" s="246" t="s">
        <v>1769</v>
      </c>
      <c r="AJ146" s="246" t="s">
        <v>1769</v>
      </c>
    </row>
    <row r="147" spans="1:36">
      <c r="A147" s="206">
        <v>6114</v>
      </c>
      <c r="B147" s="206" t="s">
        <v>509</v>
      </c>
      <c r="C147" s="253" t="s">
        <v>1805</v>
      </c>
      <c r="D147" s="219" t="str">
        <f t="shared" si="4"/>
        <v>滋賀100か6114</v>
      </c>
      <c r="E147" s="206" t="s">
        <v>199</v>
      </c>
      <c r="F147" s="206" t="s">
        <v>594</v>
      </c>
      <c r="G147" s="206" t="s">
        <v>1772</v>
      </c>
      <c r="H147" s="219" t="s">
        <v>1539</v>
      </c>
      <c r="I147" s="206" t="s">
        <v>1769</v>
      </c>
      <c r="J147" s="206" t="s">
        <v>1769</v>
      </c>
      <c r="K147" s="206" t="s">
        <v>170</v>
      </c>
      <c r="L147" s="265" t="s">
        <v>162</v>
      </c>
      <c r="M147" s="206" t="s">
        <v>1769</v>
      </c>
      <c r="N147" s="206" t="s">
        <v>1769</v>
      </c>
      <c r="O147" s="206" t="s">
        <v>1769</v>
      </c>
      <c r="P147" s="206" t="s">
        <v>400</v>
      </c>
      <c r="Q147" s="206" t="s">
        <v>401</v>
      </c>
      <c r="R147" s="206" t="s">
        <v>405</v>
      </c>
      <c r="S147" s="206" t="s">
        <v>1769</v>
      </c>
      <c r="T147" s="206" t="s">
        <v>1312</v>
      </c>
      <c r="U147" s="206" t="s">
        <v>1769</v>
      </c>
      <c r="V147" s="206" t="s">
        <v>1769</v>
      </c>
      <c r="W147" s="206" t="s">
        <v>1769</v>
      </c>
      <c r="X147" s="206" t="s">
        <v>1750</v>
      </c>
      <c r="Y147" s="206" t="s">
        <v>1769</v>
      </c>
      <c r="Z147" s="206" t="s">
        <v>1769</v>
      </c>
      <c r="AA147" s="206" t="s">
        <v>1769</v>
      </c>
      <c r="AB147" s="206" t="s">
        <v>1049</v>
      </c>
      <c r="AC147" s="205" t="s">
        <v>1826</v>
      </c>
      <c r="AD147" s="205" t="s">
        <v>1826</v>
      </c>
      <c r="AE147" s="246" t="s">
        <v>1769</v>
      </c>
      <c r="AF147" s="246" t="s">
        <v>1769</v>
      </c>
      <c r="AG147" s="246" t="s">
        <v>1769</v>
      </c>
      <c r="AH147" s="246" t="s">
        <v>1769</v>
      </c>
      <c r="AI147" s="246" t="s">
        <v>1769</v>
      </c>
      <c r="AJ147" s="246" t="s">
        <v>1769</v>
      </c>
    </row>
    <row r="148" spans="1:36">
      <c r="A148" s="206">
        <v>6148</v>
      </c>
      <c r="B148" s="206" t="s">
        <v>509</v>
      </c>
      <c r="C148" s="253" t="s">
        <v>1805</v>
      </c>
      <c r="D148" s="219" t="str">
        <f t="shared" si="4"/>
        <v>滋賀100か6148</v>
      </c>
      <c r="E148" s="206" t="s">
        <v>203</v>
      </c>
      <c r="F148" s="206" t="s">
        <v>594</v>
      </c>
      <c r="G148" s="206" t="s">
        <v>1772</v>
      </c>
      <c r="H148" s="219" t="s">
        <v>1540</v>
      </c>
      <c r="I148" s="206" t="s">
        <v>1769</v>
      </c>
      <c r="J148" s="206" t="s">
        <v>1769</v>
      </c>
      <c r="K148" s="206" t="s">
        <v>170</v>
      </c>
      <c r="L148" s="265" t="s">
        <v>162</v>
      </c>
      <c r="M148" s="206" t="s">
        <v>1769</v>
      </c>
      <c r="N148" s="206" t="s">
        <v>1769</v>
      </c>
      <c r="O148" s="206" t="s">
        <v>1769</v>
      </c>
      <c r="P148" s="206" t="s">
        <v>400</v>
      </c>
      <c r="Q148" s="206" t="s">
        <v>401</v>
      </c>
      <c r="R148" s="206" t="s">
        <v>405</v>
      </c>
      <c r="S148" s="206" t="s">
        <v>1769</v>
      </c>
      <c r="T148" s="206" t="s">
        <v>1312</v>
      </c>
      <c r="U148" s="206" t="s">
        <v>1769</v>
      </c>
      <c r="V148" s="206" t="s">
        <v>1769</v>
      </c>
      <c r="W148" s="206" t="s">
        <v>1769</v>
      </c>
      <c r="X148" s="206" t="s">
        <v>1750</v>
      </c>
      <c r="Y148" s="206" t="s">
        <v>1769</v>
      </c>
      <c r="Z148" s="206" t="s">
        <v>1769</v>
      </c>
      <c r="AA148" s="206" t="s">
        <v>1769</v>
      </c>
      <c r="AB148" s="206" t="s">
        <v>1049</v>
      </c>
      <c r="AC148" s="205" t="s">
        <v>1826</v>
      </c>
      <c r="AD148" s="205" t="s">
        <v>1826</v>
      </c>
      <c r="AE148" s="246" t="s">
        <v>1769</v>
      </c>
      <c r="AF148" s="246" t="s">
        <v>1769</v>
      </c>
      <c r="AG148" s="246" t="s">
        <v>1769</v>
      </c>
      <c r="AH148" s="246" t="s">
        <v>1769</v>
      </c>
      <c r="AI148" s="246" t="s">
        <v>1769</v>
      </c>
      <c r="AJ148" s="246" t="s">
        <v>1769</v>
      </c>
    </row>
    <row r="149" spans="1:36">
      <c r="A149" s="206">
        <v>2767</v>
      </c>
      <c r="B149" s="206" t="s">
        <v>503</v>
      </c>
      <c r="C149" s="253" t="s">
        <v>1805</v>
      </c>
      <c r="D149" s="219" t="str">
        <f t="shared" si="4"/>
        <v>習志野100い2767</v>
      </c>
      <c r="E149" s="206" t="s">
        <v>270</v>
      </c>
      <c r="F149" s="206" t="s">
        <v>375</v>
      </c>
      <c r="G149" s="206" t="s">
        <v>324</v>
      </c>
      <c r="H149" s="219" t="s">
        <v>271</v>
      </c>
      <c r="I149" s="206" t="s">
        <v>1769</v>
      </c>
      <c r="J149" s="206" t="s">
        <v>1769</v>
      </c>
      <c r="K149" s="206" t="s">
        <v>1541</v>
      </c>
      <c r="L149" s="265" t="s">
        <v>162</v>
      </c>
      <c r="M149" s="206" t="s">
        <v>1769</v>
      </c>
      <c r="N149" s="206" t="s">
        <v>1769</v>
      </c>
      <c r="O149" s="206" t="s">
        <v>1769</v>
      </c>
      <c r="P149" s="206" t="s">
        <v>402</v>
      </c>
      <c r="Q149" s="206" t="s">
        <v>401</v>
      </c>
      <c r="R149" s="206" t="s">
        <v>1769</v>
      </c>
      <c r="S149" s="206" t="s">
        <v>1769</v>
      </c>
      <c r="T149" s="206" t="s">
        <v>269</v>
      </c>
      <c r="U149" s="206" t="s">
        <v>1769</v>
      </c>
      <c r="V149" s="206" t="s">
        <v>1769</v>
      </c>
      <c r="W149" s="206" t="s">
        <v>1769</v>
      </c>
      <c r="X149" s="206" t="s">
        <v>1750</v>
      </c>
      <c r="Y149" s="206" t="s">
        <v>1769</v>
      </c>
      <c r="Z149" s="206" t="s">
        <v>1769</v>
      </c>
      <c r="AA149" s="206" t="s">
        <v>1769</v>
      </c>
      <c r="AB149" s="206" t="s">
        <v>1049</v>
      </c>
      <c r="AC149" s="205" t="s">
        <v>1826</v>
      </c>
      <c r="AD149" s="205" t="s">
        <v>1826</v>
      </c>
      <c r="AE149" s="246" t="s">
        <v>1769</v>
      </c>
      <c r="AF149" s="246" t="s">
        <v>1769</v>
      </c>
      <c r="AG149" s="246" t="s">
        <v>1769</v>
      </c>
      <c r="AH149" s="246" t="s">
        <v>1769</v>
      </c>
      <c r="AI149" s="246" t="s">
        <v>1769</v>
      </c>
      <c r="AJ149" s="246" t="s">
        <v>1769</v>
      </c>
    </row>
    <row r="150" spans="1:36">
      <c r="A150" s="206">
        <v>2830</v>
      </c>
      <c r="B150" s="206" t="s">
        <v>503</v>
      </c>
      <c r="C150" s="253" t="s">
        <v>1805</v>
      </c>
      <c r="D150" s="219" t="str">
        <f t="shared" si="4"/>
        <v>習志野100い2830</v>
      </c>
      <c r="E150" s="206" t="s">
        <v>289</v>
      </c>
      <c r="F150" s="206" t="s">
        <v>1542</v>
      </c>
      <c r="G150" s="206" t="s">
        <v>1772</v>
      </c>
      <c r="H150" s="219" t="s">
        <v>1543</v>
      </c>
      <c r="I150" s="206" t="s">
        <v>1769</v>
      </c>
      <c r="J150" s="206" t="s">
        <v>1769</v>
      </c>
      <c r="K150" s="206" t="s">
        <v>381</v>
      </c>
      <c r="L150" s="265" t="s">
        <v>162</v>
      </c>
      <c r="M150" s="206" t="s">
        <v>1769</v>
      </c>
      <c r="N150" s="206" t="s">
        <v>1769</v>
      </c>
      <c r="O150" s="206" t="s">
        <v>1769</v>
      </c>
      <c r="P150" s="206" t="s">
        <v>400</v>
      </c>
      <c r="Q150" s="206" t="s">
        <v>401</v>
      </c>
      <c r="R150" s="206" t="s">
        <v>1769</v>
      </c>
      <c r="S150" s="206" t="s">
        <v>1769</v>
      </c>
      <c r="T150" s="206" t="s">
        <v>384</v>
      </c>
      <c r="U150" s="206" t="s">
        <v>1769</v>
      </c>
      <c r="V150" s="206" t="s">
        <v>1769</v>
      </c>
      <c r="W150" s="206" t="s">
        <v>1769</v>
      </c>
      <c r="X150" s="206" t="s">
        <v>1147</v>
      </c>
      <c r="Y150" s="206" t="s">
        <v>1769</v>
      </c>
      <c r="Z150" s="206" t="s">
        <v>1769</v>
      </c>
      <c r="AA150" s="206" t="s">
        <v>1769</v>
      </c>
      <c r="AB150" s="206" t="s">
        <v>1049</v>
      </c>
      <c r="AC150" s="205" t="s">
        <v>1826</v>
      </c>
      <c r="AD150" s="205" t="s">
        <v>1826</v>
      </c>
      <c r="AE150" s="246" t="s">
        <v>1769</v>
      </c>
      <c r="AF150" s="246" t="s">
        <v>1769</v>
      </c>
      <c r="AG150" s="246" t="s">
        <v>1769</v>
      </c>
      <c r="AH150" s="246" t="s">
        <v>1769</v>
      </c>
      <c r="AI150" s="246" t="s">
        <v>1769</v>
      </c>
      <c r="AJ150" s="246" t="s">
        <v>1769</v>
      </c>
    </row>
    <row r="151" spans="1:36">
      <c r="A151" s="206">
        <v>4659</v>
      </c>
      <c r="B151" s="206" t="s">
        <v>513</v>
      </c>
      <c r="C151" s="253" t="s">
        <v>1805</v>
      </c>
      <c r="D151" s="219" t="str">
        <f t="shared" si="4"/>
        <v>習志野400た4659</v>
      </c>
      <c r="E151" s="206" t="s">
        <v>185</v>
      </c>
      <c r="F151" s="206" t="s">
        <v>1466</v>
      </c>
      <c r="G151" s="206" t="s">
        <v>1331</v>
      </c>
      <c r="H151" s="219" t="s">
        <v>1544</v>
      </c>
      <c r="I151" s="206" t="s">
        <v>1769</v>
      </c>
      <c r="J151" s="206" t="s">
        <v>1769</v>
      </c>
      <c r="K151" s="206" t="s">
        <v>1215</v>
      </c>
      <c r="L151" s="265" t="s">
        <v>1809</v>
      </c>
      <c r="M151" s="206" t="s">
        <v>1769</v>
      </c>
      <c r="N151" s="206" t="s">
        <v>1769</v>
      </c>
      <c r="O151" s="206" t="s">
        <v>1769</v>
      </c>
      <c r="P151" s="206" t="s">
        <v>402</v>
      </c>
      <c r="Q151" s="206" t="s">
        <v>401</v>
      </c>
      <c r="R151" s="206" t="s">
        <v>1769</v>
      </c>
      <c r="S151" s="206" t="s">
        <v>1769</v>
      </c>
      <c r="T151" s="206" t="s">
        <v>376</v>
      </c>
      <c r="U151" s="206" t="s">
        <v>1769</v>
      </c>
      <c r="V151" s="206" t="s">
        <v>1769</v>
      </c>
      <c r="W151" s="206" t="s">
        <v>1769</v>
      </c>
      <c r="X151" s="206" t="s">
        <v>1751</v>
      </c>
      <c r="Y151" s="206" t="s">
        <v>1769</v>
      </c>
      <c r="Z151" s="206" t="s">
        <v>1769</v>
      </c>
      <c r="AA151" s="206" t="s">
        <v>1769</v>
      </c>
      <c r="AB151" s="206" t="s">
        <v>1049</v>
      </c>
      <c r="AC151" s="205" t="s">
        <v>1826</v>
      </c>
      <c r="AD151" s="205" t="s">
        <v>1826</v>
      </c>
      <c r="AE151" s="246" t="s">
        <v>1769</v>
      </c>
      <c r="AF151" s="246" t="s">
        <v>1769</v>
      </c>
      <c r="AG151" s="246" t="s">
        <v>1769</v>
      </c>
      <c r="AH151" s="246" t="s">
        <v>1769</v>
      </c>
      <c r="AI151" s="246" t="s">
        <v>1769</v>
      </c>
      <c r="AJ151" s="246" t="s">
        <v>1769</v>
      </c>
    </row>
    <row r="152" spans="1:36">
      <c r="C152" s="262"/>
    </row>
    <row r="153" spans="1:36">
      <c r="A153" s="279" t="s">
        <v>1810</v>
      </c>
      <c r="B153" s="280"/>
      <c r="C153" s="281"/>
    </row>
    <row r="154" spans="1:36">
      <c r="A154" s="282" t="s">
        <v>1811</v>
      </c>
      <c r="B154" s="283"/>
      <c r="C154" s="284"/>
    </row>
    <row r="155" spans="1:36">
      <c r="A155" s="285" t="s">
        <v>1812</v>
      </c>
      <c r="B155" s="286"/>
      <c r="C155" s="287"/>
    </row>
    <row r="156" spans="1:36">
      <c r="A156" s="288" t="s">
        <v>1813</v>
      </c>
      <c r="B156" s="288"/>
      <c r="C156" s="288"/>
      <c r="D156" s="199" t="s">
        <v>1829</v>
      </c>
    </row>
  </sheetData>
  <autoFilter ref="A1:AJ151"/>
  <mergeCells count="4">
    <mergeCell ref="A153:C153"/>
    <mergeCell ref="A154:C154"/>
    <mergeCell ref="A155:C155"/>
    <mergeCell ref="A156:C156"/>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3"/>
  <dimension ref="A1:AB71"/>
  <sheetViews>
    <sheetView tabSelected="1" view="pageBreakPreview" zoomScale="70" zoomScaleNormal="85" zoomScaleSheetLayoutView="70" workbookViewId="0">
      <selection activeCell="X2" sqref="X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289" t="s">
        <v>1830</v>
      </c>
      <c r="N2" s="290"/>
      <c r="O2" s="290"/>
      <c r="P2" s="291"/>
      <c r="Q2" s="78" t="s">
        <v>1831</v>
      </c>
      <c r="R2" s="14"/>
      <c r="S2" s="15"/>
      <c r="T2" s="81" t="s">
        <v>1832</v>
      </c>
      <c r="U2" s="82" t="s">
        <v>1833</v>
      </c>
      <c r="V2" s="18"/>
      <c r="X2" s="86">
        <v>1</v>
      </c>
    </row>
    <row r="3" spans="1:24" ht="14.1" customHeight="1" thickBot="1">
      <c r="E3" s="8"/>
      <c r="M3" s="11" t="s">
        <v>4</v>
      </c>
      <c r="N3" s="12"/>
      <c r="O3" s="12"/>
      <c r="P3" s="13"/>
      <c r="Q3" s="14" t="s">
        <v>285</v>
      </c>
      <c r="R3" s="14"/>
      <c r="S3" s="15"/>
      <c r="T3" s="16" t="s">
        <v>264</v>
      </c>
      <c r="U3" s="83" t="s">
        <v>265</v>
      </c>
      <c r="V3" s="84"/>
    </row>
    <row r="4" spans="1:24" ht="27.95" customHeight="1" thickTop="1" thickBot="1">
      <c r="C4" s="8"/>
      <c r="D4" s="74"/>
      <c r="E4" s="8" t="s">
        <v>5</v>
      </c>
      <c r="F4" s="8"/>
      <c r="G4" s="8"/>
      <c r="H4" s="19"/>
      <c r="I4" s="20" t="s">
        <v>206</v>
      </c>
      <c r="J4" s="9"/>
      <c r="K4" s="10"/>
      <c r="L4" s="1" t="s">
        <v>6</v>
      </c>
      <c r="M4" s="292" t="s">
        <v>1834</v>
      </c>
      <c r="N4" s="293"/>
      <c r="O4" s="293"/>
      <c r="P4" s="294"/>
      <c r="Q4" s="79" t="s">
        <v>1835</v>
      </c>
      <c r="R4" s="23"/>
      <c r="S4" s="24"/>
      <c r="T4" s="77" t="s">
        <v>1836</v>
      </c>
      <c r="U4" s="25"/>
      <c r="V4" s="26"/>
    </row>
    <row r="5" spans="1:24" ht="17.100000000000001" customHeight="1" thickTop="1" thickBot="1">
      <c r="B5" s="27" t="s">
        <v>7</v>
      </c>
      <c r="C5" s="27"/>
      <c r="D5" s="27"/>
    </row>
    <row r="6" spans="1:24" ht="12" customHeight="1" thickBot="1">
      <c r="B6" s="28" t="s">
        <v>8</v>
      </c>
      <c r="C6" s="5"/>
      <c r="D6" s="6"/>
      <c r="E6" s="7" t="s">
        <v>9</v>
      </c>
      <c r="F6" s="29"/>
      <c r="G6" s="6"/>
      <c r="H6" s="30"/>
      <c r="K6" s="295" t="s">
        <v>8</v>
      </c>
      <c r="L6" s="296"/>
      <c r="M6" s="6" t="s">
        <v>9</v>
      </c>
      <c r="N6" s="100"/>
      <c r="P6" s="28" t="s">
        <v>8</v>
      </c>
      <c r="Q6" s="7" t="s">
        <v>9</v>
      </c>
      <c r="R6" s="30"/>
      <c r="T6" s="28" t="s">
        <v>8</v>
      </c>
      <c r="U6" s="7" t="s">
        <v>9</v>
      </c>
      <c r="V6" s="30"/>
    </row>
    <row r="7" spans="1:24" ht="12" customHeight="1" thickTop="1">
      <c r="B7" s="31" t="s">
        <v>10</v>
      </c>
      <c r="C7" s="32"/>
      <c r="D7" s="32"/>
      <c r="E7" s="12"/>
      <c r="F7" s="12"/>
      <c r="G7" s="12"/>
      <c r="H7" s="18"/>
      <c r="K7" s="297" t="s">
        <v>11</v>
      </c>
      <c r="L7" s="298"/>
      <c r="M7" s="35" t="s">
        <v>12</v>
      </c>
      <c r="N7" s="37"/>
      <c r="O7" s="37"/>
      <c r="P7" s="38"/>
      <c r="Q7" s="36" t="s">
        <v>13</v>
      </c>
      <c r="R7" s="299"/>
      <c r="T7" s="39" t="s">
        <v>14</v>
      </c>
      <c r="U7" s="17"/>
      <c r="V7" s="99"/>
    </row>
    <row r="8" spans="1:24" ht="12" customHeight="1" thickBot="1">
      <c r="B8" s="11"/>
      <c r="C8" s="12"/>
      <c r="D8" s="12"/>
      <c r="E8" s="12"/>
      <c r="F8" s="12"/>
      <c r="G8" s="12"/>
      <c r="H8" s="18"/>
      <c r="K8" s="297" t="s">
        <v>207</v>
      </c>
      <c r="L8" s="298"/>
      <c r="M8" s="40"/>
      <c r="N8" s="98"/>
      <c r="O8" s="37"/>
      <c r="P8" s="42"/>
      <c r="Q8" s="43"/>
      <c r="R8" s="300"/>
      <c r="T8" s="11"/>
      <c r="U8" s="12"/>
      <c r="V8" s="18"/>
    </row>
    <row r="9" spans="1:24" ht="12" customHeight="1" thickTop="1">
      <c r="B9" s="44" t="s">
        <v>208</v>
      </c>
      <c r="C9" s="35"/>
      <c r="D9" s="35"/>
      <c r="E9" s="36" t="s">
        <v>15</v>
      </c>
      <c r="F9" s="35"/>
      <c r="G9" s="35"/>
      <c r="H9" s="299"/>
      <c r="K9" s="11"/>
      <c r="L9" s="13"/>
      <c r="M9" s="36" t="s">
        <v>16</v>
      </c>
      <c r="N9" s="102"/>
      <c r="O9" s="37"/>
      <c r="P9" s="38" t="s">
        <v>209</v>
      </c>
      <c r="Q9" s="36" t="s">
        <v>17</v>
      </c>
      <c r="R9" s="102"/>
      <c r="S9" s="37"/>
      <c r="T9" s="45" t="s">
        <v>18</v>
      </c>
      <c r="U9" s="36" t="s">
        <v>19</v>
      </c>
      <c r="V9" s="299"/>
    </row>
    <row r="10" spans="1:24" ht="12" customHeight="1" thickBot="1">
      <c r="B10" s="46"/>
      <c r="C10" s="40"/>
      <c r="D10" s="40"/>
      <c r="E10" s="41"/>
      <c r="F10" s="40"/>
      <c r="G10" s="40"/>
      <c r="H10" s="301"/>
      <c r="K10" s="11"/>
      <c r="L10" s="13"/>
      <c r="M10" s="41" t="s">
        <v>20</v>
      </c>
      <c r="N10" s="98"/>
      <c r="O10" s="37"/>
      <c r="P10" s="42"/>
      <c r="Q10" s="41"/>
      <c r="R10" s="98"/>
      <c r="S10" s="37"/>
      <c r="T10" s="38" t="s">
        <v>21</v>
      </c>
      <c r="U10" s="47"/>
      <c r="V10" s="301"/>
    </row>
    <row r="11" spans="1:24" ht="12" customHeight="1" thickTop="1">
      <c r="B11" s="11" t="s">
        <v>210</v>
      </c>
      <c r="C11" s="12"/>
      <c r="D11" s="12"/>
      <c r="E11" s="36" t="s">
        <v>22</v>
      </c>
      <c r="F11" s="12"/>
      <c r="G11" s="12"/>
      <c r="H11" s="299"/>
      <c r="K11" s="11"/>
      <c r="L11" s="13"/>
      <c r="M11" s="36" t="s">
        <v>23</v>
      </c>
      <c r="N11" s="300"/>
      <c r="P11" s="31" t="s">
        <v>24</v>
      </c>
      <c r="Q11" s="12"/>
      <c r="R11" s="12"/>
      <c r="S11" s="37"/>
      <c r="T11" s="38"/>
      <c r="U11" s="17" t="s">
        <v>25</v>
      </c>
      <c r="V11" s="299"/>
    </row>
    <row r="12" spans="1:24" ht="12" customHeight="1" thickBot="1">
      <c r="B12" s="11"/>
      <c r="C12" s="12"/>
      <c r="D12" s="12"/>
      <c r="E12" s="41"/>
      <c r="F12" s="12"/>
      <c r="G12" s="12"/>
      <c r="H12" s="301"/>
      <c r="K12" s="46"/>
      <c r="L12" s="48"/>
      <c r="M12" s="41"/>
      <c r="N12" s="301"/>
      <c r="P12" s="46"/>
      <c r="Q12" s="40"/>
      <c r="R12" s="26"/>
      <c r="S12" s="37"/>
      <c r="T12" s="42"/>
      <c r="U12" s="41"/>
      <c r="V12" s="301"/>
    </row>
    <row r="13" spans="1:24" ht="12" customHeight="1" thickTop="1">
      <c r="B13" s="11"/>
      <c r="C13" s="12"/>
      <c r="D13" s="12"/>
      <c r="E13" s="36" t="s">
        <v>26</v>
      </c>
      <c r="F13" s="35"/>
      <c r="G13" s="35"/>
      <c r="H13" s="299"/>
      <c r="K13" s="302" t="s">
        <v>211</v>
      </c>
      <c r="L13" s="303"/>
      <c r="M13" s="36" t="s">
        <v>27</v>
      </c>
      <c r="N13" s="299"/>
      <c r="P13" s="45" t="s">
        <v>212</v>
      </c>
      <c r="Q13" s="36" t="s">
        <v>28</v>
      </c>
      <c r="R13" s="37"/>
      <c r="S13" s="37"/>
      <c r="T13" s="38" t="s">
        <v>29</v>
      </c>
      <c r="U13" s="17" t="s">
        <v>30</v>
      </c>
      <c r="V13" s="299"/>
    </row>
    <row r="14" spans="1:24" ht="12" customHeight="1" thickBot="1">
      <c r="B14" s="11"/>
      <c r="C14" s="40"/>
      <c r="D14" s="48"/>
      <c r="E14" s="41"/>
      <c r="F14" s="40"/>
      <c r="G14" s="40"/>
      <c r="H14" s="300"/>
      <c r="K14" s="46"/>
      <c r="L14" s="48"/>
      <c r="M14" s="41"/>
      <c r="N14" s="300"/>
      <c r="P14" s="11"/>
      <c r="Q14" s="41" t="s">
        <v>31</v>
      </c>
      <c r="R14" s="98"/>
      <c r="S14" s="37"/>
      <c r="T14" s="38" t="s">
        <v>32</v>
      </c>
      <c r="U14" s="17"/>
      <c r="V14" s="301"/>
    </row>
    <row r="15" spans="1:24" ht="12" customHeight="1" thickTop="1">
      <c r="B15" s="45" t="s">
        <v>33</v>
      </c>
      <c r="C15" s="12"/>
      <c r="D15" s="53"/>
      <c r="E15" s="12" t="s">
        <v>34</v>
      </c>
      <c r="F15" s="12"/>
      <c r="G15" s="12"/>
      <c r="H15" s="102"/>
      <c r="I15" s="11"/>
      <c r="K15" s="302" t="s">
        <v>213</v>
      </c>
      <c r="L15" s="303"/>
      <c r="M15" s="12" t="s">
        <v>35</v>
      </c>
      <c r="N15" s="102"/>
      <c r="O15" s="37"/>
      <c r="P15" s="11"/>
      <c r="Q15" s="36" t="s">
        <v>36</v>
      </c>
      <c r="R15" s="37"/>
      <c r="S15" s="37"/>
      <c r="T15" s="38"/>
      <c r="U15" s="36" t="s">
        <v>37</v>
      </c>
      <c r="V15" s="299"/>
    </row>
    <row r="16" spans="1:24" ht="12" customHeight="1" thickBot="1">
      <c r="B16" s="11"/>
      <c r="C16" s="12"/>
      <c r="D16" s="12"/>
      <c r="E16" s="17"/>
      <c r="F16" s="12"/>
      <c r="G16" s="12"/>
      <c r="H16" s="98"/>
      <c r="I16" s="11"/>
      <c r="K16" s="297" t="s">
        <v>38</v>
      </c>
      <c r="L16" s="298"/>
      <c r="M16" s="12" t="s">
        <v>241</v>
      </c>
      <c r="N16" s="98"/>
      <c r="O16" s="37"/>
      <c r="P16" s="11"/>
      <c r="Q16" s="41"/>
      <c r="R16" s="98"/>
      <c r="S16" s="37"/>
      <c r="T16" s="38"/>
      <c r="U16" s="17" t="s">
        <v>39</v>
      </c>
      <c r="V16" s="301"/>
    </row>
    <row r="17" spans="2:23" ht="12" customHeight="1" thickTop="1">
      <c r="B17" s="11"/>
      <c r="C17" s="12"/>
      <c r="D17" s="12"/>
      <c r="E17" s="36" t="s">
        <v>214</v>
      </c>
      <c r="F17" s="35"/>
      <c r="G17" s="35"/>
      <c r="H17" s="300"/>
      <c r="K17" s="11"/>
      <c r="L17" s="13"/>
      <c r="M17" s="36" t="s">
        <v>40</v>
      </c>
      <c r="N17" s="102"/>
      <c r="O17" s="37"/>
      <c r="P17" s="11"/>
      <c r="Q17" s="36" t="s">
        <v>41</v>
      </c>
      <c r="R17" s="37"/>
      <c r="S17" s="37"/>
      <c r="T17" s="38"/>
      <c r="U17" s="36" t="s">
        <v>42</v>
      </c>
      <c r="V17" s="299"/>
    </row>
    <row r="18" spans="2:23" ht="12" customHeight="1" thickBot="1">
      <c r="B18" s="46"/>
      <c r="C18" s="40"/>
      <c r="D18" s="40"/>
      <c r="E18" s="41" t="s">
        <v>43</v>
      </c>
      <c r="F18" s="40"/>
      <c r="G18" s="40"/>
      <c r="H18" s="300"/>
      <c r="K18" s="11"/>
      <c r="L18" s="13"/>
      <c r="M18" s="41"/>
      <c r="N18" s="98"/>
      <c r="O18" s="37"/>
      <c r="P18" s="46"/>
      <c r="Q18" s="41"/>
      <c r="R18" s="98"/>
      <c r="S18" s="37"/>
      <c r="T18" s="38"/>
      <c r="U18" s="41"/>
      <c r="V18" s="301"/>
    </row>
    <row r="19" spans="2:23" ht="12" customHeight="1" thickTop="1">
      <c r="B19" s="45" t="s">
        <v>215</v>
      </c>
      <c r="C19" s="35"/>
      <c r="D19" s="35"/>
      <c r="E19" s="36" t="s">
        <v>44</v>
      </c>
      <c r="F19" s="12"/>
      <c r="G19" s="12"/>
      <c r="H19" s="102"/>
      <c r="I19" s="11"/>
      <c r="K19" s="11"/>
      <c r="L19" s="13"/>
      <c r="M19" s="36" t="s">
        <v>45</v>
      </c>
      <c r="N19" s="300"/>
      <c r="P19" s="45" t="s">
        <v>46</v>
      </c>
      <c r="Q19" s="36" t="s">
        <v>47</v>
      </c>
      <c r="R19" s="37"/>
      <c r="S19" s="37"/>
      <c r="T19" s="45" t="s">
        <v>48</v>
      </c>
      <c r="U19" s="36" t="s">
        <v>49</v>
      </c>
      <c r="V19" s="299"/>
    </row>
    <row r="20" spans="2:23" ht="12" customHeight="1" thickBot="1">
      <c r="B20" s="46"/>
      <c r="C20" s="40"/>
      <c r="D20" s="48"/>
      <c r="E20" s="41"/>
      <c r="F20" s="12"/>
      <c r="G20" s="12"/>
      <c r="H20" s="98"/>
      <c r="I20" s="11"/>
      <c r="K20" s="11"/>
      <c r="L20" s="13"/>
      <c r="M20" s="41"/>
      <c r="N20" s="300"/>
      <c r="P20" s="42" t="s">
        <v>216</v>
      </c>
      <c r="Q20" s="41"/>
      <c r="R20" s="98"/>
      <c r="S20" s="37"/>
      <c r="T20" s="38" t="s">
        <v>50</v>
      </c>
      <c r="U20" s="17" t="s">
        <v>51</v>
      </c>
      <c r="V20" s="301"/>
    </row>
    <row r="21" spans="2:23" ht="12" customHeight="1" thickTop="1">
      <c r="B21" s="45" t="s">
        <v>52</v>
      </c>
      <c r="C21" s="35"/>
      <c r="D21" s="35"/>
      <c r="E21" s="36" t="s">
        <v>217</v>
      </c>
      <c r="F21" s="35"/>
      <c r="G21" s="54"/>
      <c r="H21" s="300"/>
      <c r="K21" s="302" t="s">
        <v>218</v>
      </c>
      <c r="L21" s="303"/>
      <c r="M21" s="36" t="s">
        <v>53</v>
      </c>
      <c r="N21" s="102"/>
      <c r="O21" s="37"/>
      <c r="P21" s="45" t="s">
        <v>54</v>
      </c>
      <c r="Q21" s="36" t="s">
        <v>55</v>
      </c>
      <c r="R21" s="102"/>
      <c r="S21" s="37"/>
      <c r="T21" s="38"/>
      <c r="U21" s="36" t="s">
        <v>56</v>
      </c>
      <c r="V21" s="299"/>
    </row>
    <row r="22" spans="2:23" ht="12" customHeight="1" thickBot="1">
      <c r="B22" s="46"/>
      <c r="C22" s="40"/>
      <c r="D22" s="40"/>
      <c r="E22" s="41"/>
      <c r="F22" s="40"/>
      <c r="G22" s="55"/>
      <c r="H22" s="300"/>
      <c r="K22" s="297" t="s">
        <v>219</v>
      </c>
      <c r="L22" s="298"/>
      <c r="M22" s="41"/>
      <c r="N22" s="98"/>
      <c r="O22" s="37"/>
      <c r="P22" s="38" t="s">
        <v>220</v>
      </c>
      <c r="Q22" s="41"/>
      <c r="R22" s="98"/>
      <c r="S22" s="37"/>
      <c r="T22" s="38"/>
      <c r="U22" s="41"/>
      <c r="V22" s="301"/>
    </row>
    <row r="23" spans="2:23" ht="12" customHeight="1" thickTop="1">
      <c r="B23" s="45" t="s">
        <v>221</v>
      </c>
      <c r="C23" s="35"/>
      <c r="D23" s="35"/>
      <c r="E23" s="36" t="s">
        <v>57</v>
      </c>
      <c r="F23" s="12"/>
      <c r="G23" s="12"/>
      <c r="H23" s="102"/>
      <c r="I23" s="11"/>
      <c r="K23" s="11"/>
      <c r="L23" s="13"/>
      <c r="M23" s="36" t="s">
        <v>58</v>
      </c>
      <c r="N23" s="102"/>
      <c r="O23" s="37"/>
      <c r="P23" s="38"/>
      <c r="Q23" s="12" t="s">
        <v>59</v>
      </c>
      <c r="R23" s="300"/>
      <c r="T23" s="38"/>
      <c r="U23" s="36" t="s">
        <v>60</v>
      </c>
      <c r="V23" s="299"/>
    </row>
    <row r="24" spans="2:23" ht="12" customHeight="1" thickBot="1">
      <c r="B24" s="11" t="s">
        <v>21</v>
      </c>
      <c r="C24" s="12"/>
      <c r="D24" s="12"/>
      <c r="E24" s="41"/>
      <c r="F24" s="40"/>
      <c r="G24" s="40"/>
      <c r="H24" s="98"/>
      <c r="I24" s="11"/>
      <c r="K24" s="11"/>
      <c r="L24" s="13"/>
      <c r="M24" s="17"/>
      <c r="N24" s="98"/>
      <c r="O24" s="37"/>
      <c r="P24" s="38"/>
      <c r="Q24" s="12" t="s">
        <v>61</v>
      </c>
      <c r="R24" s="301"/>
      <c r="T24" s="38"/>
      <c r="U24" s="41"/>
      <c r="V24" s="301"/>
    </row>
    <row r="25" spans="2:23" ht="12" customHeight="1" thickTop="1">
      <c r="B25" s="11"/>
      <c r="C25" s="12"/>
      <c r="D25" s="12"/>
      <c r="E25" s="36" t="s">
        <v>62</v>
      </c>
      <c r="F25" s="35"/>
      <c r="G25" s="35"/>
      <c r="H25" s="102"/>
      <c r="I25" s="11"/>
      <c r="K25" s="11"/>
      <c r="L25" s="13"/>
      <c r="M25" s="36" t="s">
        <v>63</v>
      </c>
      <c r="N25" s="300"/>
      <c r="P25" s="38"/>
      <c r="Q25" s="36" t="s">
        <v>64</v>
      </c>
      <c r="R25" s="299"/>
      <c r="T25" s="38"/>
      <c r="U25" s="17" t="s">
        <v>65</v>
      </c>
      <c r="V25" s="299"/>
    </row>
    <row r="26" spans="2:23" ht="12" customHeight="1" thickBot="1">
      <c r="B26" s="11"/>
      <c r="C26" s="12"/>
      <c r="D26" s="12"/>
      <c r="E26" s="41"/>
      <c r="F26" s="12"/>
      <c r="G26" s="12"/>
      <c r="H26" s="98"/>
      <c r="I26" s="11"/>
      <c r="K26" s="11"/>
      <c r="L26" s="13"/>
      <c r="M26" s="41"/>
      <c r="N26" s="301"/>
      <c r="P26" s="38"/>
      <c r="Q26" s="41"/>
      <c r="R26" s="301"/>
      <c r="T26" s="38"/>
      <c r="U26" s="41" t="s">
        <v>66</v>
      </c>
      <c r="V26" s="301"/>
    </row>
    <row r="27" spans="2:23" ht="12" customHeight="1" thickTop="1">
      <c r="B27" s="11"/>
      <c r="C27" s="12"/>
      <c r="D27" s="12"/>
      <c r="E27" s="36" t="s">
        <v>26</v>
      </c>
      <c r="F27" s="35"/>
      <c r="G27" s="54"/>
      <c r="H27" s="300"/>
      <c r="K27" s="11"/>
      <c r="L27" s="13"/>
      <c r="M27" s="36" t="s">
        <v>67</v>
      </c>
      <c r="N27" s="299"/>
      <c r="P27" s="38"/>
      <c r="Q27" s="36" t="s">
        <v>222</v>
      </c>
      <c r="R27" s="299"/>
      <c r="T27" s="38"/>
      <c r="U27" s="17" t="s">
        <v>68</v>
      </c>
      <c r="V27" s="299"/>
    </row>
    <row r="28" spans="2:23" ht="12" customHeight="1" thickBot="1">
      <c r="B28" s="46"/>
      <c r="C28" s="40"/>
      <c r="D28" s="40"/>
      <c r="E28" s="41"/>
      <c r="F28" s="40"/>
      <c r="G28" s="55"/>
      <c r="H28" s="301"/>
      <c r="K28" s="46"/>
      <c r="L28" s="48"/>
      <c r="M28" s="41"/>
      <c r="N28" s="301"/>
      <c r="P28" s="42"/>
      <c r="Q28" s="41"/>
      <c r="R28" s="300"/>
      <c r="T28" s="56"/>
      <c r="U28" s="57"/>
      <c r="V28" s="301"/>
    </row>
    <row r="29" spans="2:23" ht="12" customHeight="1" thickTop="1">
      <c r="B29" s="31" t="s">
        <v>69</v>
      </c>
      <c r="C29" s="32"/>
      <c r="D29" s="32"/>
      <c r="E29" s="12"/>
      <c r="F29" s="12"/>
      <c r="G29" s="12"/>
      <c r="H29" s="12"/>
      <c r="I29" s="11"/>
      <c r="K29" s="302" t="s">
        <v>70</v>
      </c>
      <c r="L29" s="303"/>
      <c r="M29" s="12" t="s">
        <v>66</v>
      </c>
      <c r="N29" s="299"/>
      <c r="P29" s="38" t="s">
        <v>223</v>
      </c>
      <c r="Q29" s="17" t="s">
        <v>47</v>
      </c>
      <c r="R29" s="103"/>
      <c r="S29" s="37"/>
      <c r="T29" s="38" t="s">
        <v>71</v>
      </c>
      <c r="U29" s="17" t="s">
        <v>36</v>
      </c>
      <c r="V29" s="58"/>
    </row>
    <row r="30" spans="2:23" ht="12" customHeight="1" thickBot="1">
      <c r="B30" s="46"/>
      <c r="C30" s="40"/>
      <c r="D30" s="40"/>
      <c r="E30" s="40"/>
      <c r="F30" s="40"/>
      <c r="G30" s="40"/>
      <c r="H30" s="26"/>
      <c r="I30" s="11"/>
      <c r="K30" s="297" t="s">
        <v>72</v>
      </c>
      <c r="L30" s="298"/>
      <c r="M30" s="52"/>
      <c r="N30" s="301"/>
      <c r="P30" s="42"/>
      <c r="Q30" s="41"/>
      <c r="R30" s="101"/>
      <c r="S30" s="37"/>
      <c r="T30" s="38" t="s">
        <v>73</v>
      </c>
      <c r="U30" s="17"/>
      <c r="V30" s="59"/>
    </row>
    <row r="31" spans="2:23" ht="12" customHeight="1" thickBot="1">
      <c r="B31" s="44" t="s">
        <v>224</v>
      </c>
      <c r="C31" s="35"/>
      <c r="D31" s="53"/>
      <c r="E31" s="36" t="s">
        <v>74</v>
      </c>
      <c r="F31" s="35"/>
      <c r="G31" s="35"/>
      <c r="H31" s="37"/>
      <c r="I31" s="11"/>
      <c r="K31" s="304" t="s">
        <v>75</v>
      </c>
      <c r="L31" s="305"/>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02" t="s">
        <v>226</v>
      </c>
      <c r="L33" s="303"/>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00"/>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00"/>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00"/>
      <c r="P37" s="11"/>
      <c r="Q37" s="36" t="s">
        <v>247</v>
      </c>
      <c r="R37" s="300"/>
      <c r="T37" s="38"/>
      <c r="U37" s="41"/>
      <c r="V37" s="98"/>
      <c r="W37" s="12"/>
    </row>
    <row r="38" spans="2:28" ht="12" customHeight="1" thickBot="1">
      <c r="B38" s="46"/>
      <c r="C38" s="40"/>
      <c r="D38" s="48"/>
      <c r="E38" s="41"/>
      <c r="F38" s="40"/>
      <c r="G38" s="40"/>
      <c r="H38" s="98"/>
      <c r="I38" s="11"/>
      <c r="K38" s="11"/>
      <c r="L38" s="13"/>
      <c r="M38" s="52" t="s">
        <v>92</v>
      </c>
      <c r="N38" s="300"/>
      <c r="P38" s="42"/>
      <c r="Q38" s="41" t="s">
        <v>93</v>
      </c>
      <c r="R38" s="300"/>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00"/>
      <c r="P41" s="45" t="s">
        <v>98</v>
      </c>
      <c r="Q41" s="36" t="s">
        <v>99</v>
      </c>
      <c r="R41" s="37"/>
      <c r="S41" s="37"/>
      <c r="T41" s="45" t="s">
        <v>100</v>
      </c>
      <c r="U41" s="17" t="s">
        <v>101</v>
      </c>
      <c r="V41" s="306"/>
      <c r="W41" s="12"/>
    </row>
    <row r="42" spans="2:28" ht="12" customHeight="1" thickBot="1">
      <c r="B42" s="46"/>
      <c r="C42" s="40"/>
      <c r="D42" s="48"/>
      <c r="E42" s="41"/>
      <c r="F42" s="12"/>
      <c r="G42" s="12"/>
      <c r="H42" s="98"/>
      <c r="I42" s="11"/>
      <c r="K42" s="11"/>
      <c r="L42" s="13"/>
      <c r="M42" s="41" t="s">
        <v>102</v>
      </c>
      <c r="N42" s="301"/>
      <c r="P42" s="42"/>
      <c r="Q42" s="41"/>
      <c r="R42" s="98"/>
      <c r="S42" s="37"/>
      <c r="T42" s="38" t="s">
        <v>103</v>
      </c>
      <c r="U42" s="17" t="s">
        <v>104</v>
      </c>
      <c r="V42" s="307"/>
      <c r="W42" s="12"/>
    </row>
    <row r="43" spans="2:28" ht="12" customHeight="1" thickTop="1">
      <c r="B43" s="44" t="s">
        <v>248</v>
      </c>
      <c r="C43" s="35"/>
      <c r="D43" s="35"/>
      <c r="E43" s="36" t="s">
        <v>105</v>
      </c>
      <c r="F43" s="35"/>
      <c r="G43" s="54"/>
      <c r="H43" s="300"/>
      <c r="K43" s="11"/>
      <c r="L43" s="13"/>
      <c r="M43" s="17" t="s">
        <v>234</v>
      </c>
      <c r="N43" s="299"/>
      <c r="P43" s="62" t="s">
        <v>106</v>
      </c>
      <c r="Q43" s="35"/>
      <c r="R43" s="12"/>
      <c r="S43" s="63"/>
      <c r="T43" s="38"/>
      <c r="U43" s="36" t="s">
        <v>107</v>
      </c>
      <c r="V43" s="300"/>
    </row>
    <row r="44" spans="2:28" ht="12" customHeight="1" thickBot="1">
      <c r="B44" s="11" t="s">
        <v>108</v>
      </c>
      <c r="C44" s="12"/>
      <c r="D44" s="12"/>
      <c r="E44" s="17"/>
      <c r="F44" s="12"/>
      <c r="G44" s="64"/>
      <c r="H44" s="300"/>
      <c r="K44" s="11"/>
      <c r="L44" s="13"/>
      <c r="M44" s="41"/>
      <c r="N44" s="301"/>
      <c r="P44" s="46"/>
      <c r="Q44" s="40"/>
      <c r="R44" s="26"/>
      <c r="S44" s="37"/>
      <c r="T44" s="42"/>
      <c r="U44" s="41"/>
      <c r="V44" s="300"/>
    </row>
    <row r="45" spans="2:28" ht="12" customHeight="1" thickTop="1" thickBot="1">
      <c r="B45" s="46" t="s">
        <v>249</v>
      </c>
      <c r="C45" s="40"/>
      <c r="D45" s="40"/>
      <c r="E45" s="41"/>
      <c r="F45" s="40"/>
      <c r="G45" s="55"/>
      <c r="H45" s="300"/>
      <c r="K45" s="60" t="s">
        <v>109</v>
      </c>
      <c r="L45" s="61"/>
      <c r="M45" s="12"/>
      <c r="N45" s="18"/>
      <c r="P45" s="38" t="s">
        <v>110</v>
      </c>
      <c r="Q45" s="17" t="s">
        <v>250</v>
      </c>
      <c r="R45" s="37"/>
      <c r="S45" s="37"/>
      <c r="T45" s="38" t="s">
        <v>111</v>
      </c>
      <c r="U45" s="17" t="s">
        <v>112</v>
      </c>
      <c r="V45" s="306"/>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07"/>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00"/>
      <c r="K48" s="11"/>
      <c r="L48" s="13"/>
      <c r="M48" s="41"/>
      <c r="N48" s="98"/>
      <c r="O48" s="37"/>
      <c r="P48" s="38"/>
      <c r="Q48" s="41"/>
      <c r="R48" s="98"/>
      <c r="S48" s="37"/>
      <c r="T48" s="42"/>
      <c r="U48" s="41"/>
      <c r="V48" s="98"/>
      <c r="W48" s="12"/>
    </row>
    <row r="49" spans="2:23" ht="12" customHeight="1" thickBot="1">
      <c r="B49" s="46"/>
      <c r="C49" s="40"/>
      <c r="D49" s="40"/>
      <c r="E49" s="41"/>
      <c r="F49" s="40"/>
      <c r="G49" s="55"/>
      <c r="H49" s="301"/>
      <c r="K49" s="11"/>
      <c r="L49" s="13"/>
      <c r="M49" s="65" t="s">
        <v>119</v>
      </c>
      <c r="N49" s="300"/>
      <c r="P49" s="38"/>
      <c r="Q49" s="36" t="s">
        <v>120</v>
      </c>
      <c r="R49" s="102"/>
      <c r="S49" s="37"/>
      <c r="T49" s="38" t="s">
        <v>121</v>
      </c>
      <c r="U49" s="36" t="s">
        <v>122</v>
      </c>
      <c r="V49" s="300"/>
    </row>
    <row r="50" spans="2:23" ht="12" customHeight="1" thickTop="1" thickBot="1">
      <c r="B50" s="44" t="s">
        <v>237</v>
      </c>
      <c r="C50" s="35"/>
      <c r="D50" s="35"/>
      <c r="E50" s="36" t="s">
        <v>66</v>
      </c>
      <c r="F50" s="12"/>
      <c r="G50" s="12"/>
      <c r="H50" s="299"/>
      <c r="K50" s="11"/>
      <c r="L50" s="13"/>
      <c r="M50" s="66" t="s">
        <v>104</v>
      </c>
      <c r="N50" s="301"/>
      <c r="P50" s="38"/>
      <c r="Q50" s="41"/>
      <c r="R50" s="98"/>
      <c r="S50" s="37"/>
      <c r="T50" s="38"/>
      <c r="U50" s="41"/>
      <c r="V50" s="301"/>
    </row>
    <row r="51" spans="2:23" ht="12" customHeight="1" thickTop="1">
      <c r="B51" s="11" t="s">
        <v>123</v>
      </c>
      <c r="C51" s="12"/>
      <c r="D51" s="12"/>
      <c r="E51" s="17"/>
      <c r="F51" s="12"/>
      <c r="G51" s="12"/>
      <c r="H51" s="300"/>
      <c r="K51" s="49" t="s">
        <v>251</v>
      </c>
      <c r="L51" s="50"/>
      <c r="M51" s="36" t="s">
        <v>115</v>
      </c>
      <c r="N51" s="299"/>
      <c r="P51" s="38"/>
      <c r="Q51" s="17" t="s">
        <v>124</v>
      </c>
      <c r="R51" s="300"/>
      <c r="T51" s="38"/>
      <c r="U51" s="17" t="s">
        <v>125</v>
      </c>
      <c r="V51" s="299"/>
    </row>
    <row r="52" spans="2:23" ht="12" customHeight="1" thickBot="1">
      <c r="B52" s="46" t="s">
        <v>238</v>
      </c>
      <c r="C52" s="40"/>
      <c r="D52" s="40"/>
      <c r="E52" s="41"/>
      <c r="F52" s="12"/>
      <c r="G52" s="12"/>
      <c r="H52" s="301"/>
      <c r="K52" s="11"/>
      <c r="L52" s="13"/>
      <c r="M52" s="41"/>
      <c r="N52" s="301"/>
      <c r="P52" s="42"/>
      <c r="Q52" s="41" t="s">
        <v>126</v>
      </c>
      <c r="R52" s="300"/>
      <c r="T52" s="42"/>
      <c r="U52" s="41" t="s">
        <v>104</v>
      </c>
      <c r="V52" s="301"/>
    </row>
    <row r="53" spans="2:23" ht="12" customHeight="1" thickTop="1">
      <c r="B53" s="44" t="s">
        <v>127</v>
      </c>
      <c r="C53" s="35"/>
      <c r="D53" s="35"/>
      <c r="E53" s="36" t="s">
        <v>128</v>
      </c>
      <c r="F53" s="35"/>
      <c r="G53" s="54"/>
      <c r="H53" s="299"/>
      <c r="K53" s="11"/>
      <c r="L53" s="13"/>
      <c r="M53" s="36" t="s">
        <v>129</v>
      </c>
      <c r="N53" s="299"/>
      <c r="P53" s="38" t="s">
        <v>130</v>
      </c>
      <c r="Q53" s="17" t="s">
        <v>22</v>
      </c>
      <c r="R53" s="102"/>
      <c r="S53" s="37"/>
      <c r="T53" s="38" t="s">
        <v>131</v>
      </c>
      <c r="U53" s="17" t="s">
        <v>132</v>
      </c>
      <c r="V53" s="299"/>
    </row>
    <row r="54" spans="2:23" ht="12" customHeight="1" thickBot="1">
      <c r="B54" s="11"/>
      <c r="C54" s="12"/>
      <c r="D54" s="12"/>
      <c r="E54" s="41"/>
      <c r="F54" s="40"/>
      <c r="G54" s="55"/>
      <c r="H54" s="301"/>
      <c r="K54" s="46"/>
      <c r="L54" s="48"/>
      <c r="M54" s="41" t="s">
        <v>104</v>
      </c>
      <c r="N54" s="300"/>
      <c r="P54" s="42"/>
      <c r="Q54" s="41"/>
      <c r="R54" s="98"/>
      <c r="S54" s="37"/>
      <c r="T54" s="38"/>
      <c r="U54" s="17" t="s">
        <v>133</v>
      </c>
      <c r="V54" s="301"/>
    </row>
    <row r="55" spans="2:23" ht="12" customHeight="1" thickTop="1">
      <c r="B55" s="11"/>
      <c r="C55" s="12"/>
      <c r="D55" s="12"/>
      <c r="E55" s="36" t="s">
        <v>66</v>
      </c>
      <c r="F55" s="12"/>
      <c r="G55" s="12"/>
      <c r="H55" s="299"/>
      <c r="K55" s="33" t="s">
        <v>239</v>
      </c>
      <c r="L55" s="34"/>
      <c r="M55" s="51" t="s">
        <v>134</v>
      </c>
      <c r="N55" s="102"/>
      <c r="O55" s="37"/>
      <c r="P55" s="45" t="s">
        <v>135</v>
      </c>
      <c r="Q55" s="36" t="s">
        <v>136</v>
      </c>
      <c r="R55" s="37"/>
      <c r="S55" s="37"/>
      <c r="T55" s="45" t="s">
        <v>137</v>
      </c>
      <c r="U55" s="36" t="s">
        <v>66</v>
      </c>
      <c r="V55" s="299"/>
    </row>
    <row r="56" spans="2:23" ht="12" customHeight="1" thickBot="1">
      <c r="B56" s="46"/>
      <c r="C56" s="40"/>
      <c r="D56" s="40"/>
      <c r="E56" s="41"/>
      <c r="F56" s="12"/>
      <c r="G56" s="12"/>
      <c r="H56" s="301"/>
      <c r="K56" s="11"/>
      <c r="L56" s="12"/>
      <c r="M56" s="41"/>
      <c r="N56" s="98"/>
      <c r="O56" s="37"/>
      <c r="P56" s="42"/>
      <c r="Q56" s="41"/>
      <c r="R56" s="98"/>
      <c r="S56" s="37"/>
      <c r="T56" s="42"/>
      <c r="U56" s="41"/>
      <c r="V56" s="300"/>
    </row>
    <row r="57" spans="2:23" ht="12" customHeight="1" thickTop="1">
      <c r="B57" s="45" t="s">
        <v>240</v>
      </c>
      <c r="C57" s="35"/>
      <c r="D57" s="35"/>
      <c r="E57" s="36" t="s">
        <v>138</v>
      </c>
      <c r="F57" s="35"/>
      <c r="G57" s="54"/>
      <c r="H57" s="299"/>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01"/>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00"/>
      <c r="T59" s="45"/>
      <c r="U59" s="51"/>
      <c r="V59" s="68"/>
    </row>
    <row r="60" spans="2:23" ht="12" customHeight="1" thickBot="1">
      <c r="B60" s="21"/>
      <c r="C60" s="22"/>
      <c r="D60" s="22"/>
      <c r="E60" s="22"/>
      <c r="F60" s="22"/>
      <c r="G60" s="22"/>
      <c r="H60" s="26"/>
      <c r="K60" s="21"/>
      <c r="L60" s="22"/>
      <c r="M60" s="25" t="s">
        <v>241</v>
      </c>
      <c r="N60" s="98"/>
      <c r="O60" s="37"/>
      <c r="P60" s="56"/>
      <c r="Q60" s="57"/>
      <c r="R60" s="301"/>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08" t="s">
        <v>146</v>
      </c>
      <c r="D64" s="309"/>
      <c r="E64" s="309"/>
      <c r="F64" s="310"/>
      <c r="I64" s="295" t="s">
        <v>147</v>
      </c>
      <c r="J64" s="311"/>
      <c r="K64" s="311"/>
      <c r="L64" s="312"/>
      <c r="M64" s="2" t="s">
        <v>164</v>
      </c>
      <c r="N64" s="3"/>
      <c r="O64" s="3"/>
      <c r="P64" s="3"/>
      <c r="Q64" s="3"/>
      <c r="R64" s="3"/>
      <c r="S64" s="3"/>
      <c r="T64" s="315" t="s">
        <v>148</v>
      </c>
      <c r="U64" s="317" t="s">
        <v>165</v>
      </c>
    </row>
    <row r="65" spans="3:21" ht="6.95" customHeight="1">
      <c r="C65" s="319" t="s">
        <v>149</v>
      </c>
      <c r="D65" s="319" t="s">
        <v>252</v>
      </c>
      <c r="E65" s="319" t="s">
        <v>150</v>
      </c>
      <c r="F65" s="319" t="s">
        <v>253</v>
      </c>
      <c r="I65" s="297"/>
      <c r="J65" s="313"/>
      <c r="K65" s="313"/>
      <c r="L65" s="314"/>
      <c r="M65" s="11"/>
      <c r="N65" s="12"/>
      <c r="O65" s="12"/>
      <c r="P65" s="12"/>
      <c r="Q65" s="12"/>
      <c r="R65" s="12"/>
      <c r="S65" s="12"/>
      <c r="T65" s="316"/>
      <c r="U65" s="318"/>
    </row>
    <row r="66" spans="3:21" ht="6.95" customHeight="1">
      <c r="C66" s="319"/>
      <c r="D66" s="319"/>
      <c r="E66" s="319"/>
      <c r="F66" s="319"/>
      <c r="I66" s="320" t="s">
        <v>151</v>
      </c>
      <c r="J66" s="321"/>
      <c r="K66" s="321"/>
      <c r="L66" s="322"/>
      <c r="M66" s="329" t="s">
        <v>1834</v>
      </c>
      <c r="N66" s="330"/>
      <c r="O66" s="330"/>
      <c r="P66" s="330"/>
      <c r="Q66" s="330"/>
      <c r="R66" s="330"/>
      <c r="S66" s="331"/>
      <c r="T66" s="326" t="s">
        <v>152</v>
      </c>
      <c r="U66" s="327"/>
    </row>
    <row r="67" spans="3:21" ht="14.1" customHeight="1">
      <c r="C67" s="72" t="s">
        <v>153</v>
      </c>
      <c r="D67" s="72" t="s">
        <v>254</v>
      </c>
      <c r="E67" s="72" t="s">
        <v>154</v>
      </c>
      <c r="F67" s="72" t="s">
        <v>255</v>
      </c>
      <c r="I67" s="323"/>
      <c r="J67" s="324"/>
      <c r="K67" s="324"/>
      <c r="L67" s="325"/>
      <c r="M67" s="329"/>
      <c r="N67" s="330"/>
      <c r="O67" s="330"/>
      <c r="P67" s="330"/>
      <c r="Q67" s="330"/>
      <c r="R67" s="330"/>
      <c r="S67" s="331"/>
      <c r="T67" s="316"/>
      <c r="U67" s="328"/>
    </row>
    <row r="68" spans="3:21" ht="14.1" customHeight="1">
      <c r="C68" s="72" t="s">
        <v>155</v>
      </c>
      <c r="D68" s="72" t="s">
        <v>256</v>
      </c>
      <c r="E68" s="72" t="s">
        <v>156</v>
      </c>
      <c r="F68" s="72" t="s">
        <v>257</v>
      </c>
      <c r="I68" s="335" t="s">
        <v>258</v>
      </c>
      <c r="J68" s="336"/>
      <c r="K68" s="339" t="s">
        <v>259</v>
      </c>
      <c r="L68" s="340"/>
      <c r="M68" s="329" t="s">
        <v>1837</v>
      </c>
      <c r="N68" s="330"/>
      <c r="O68" s="330"/>
      <c r="P68" s="330"/>
      <c r="Q68" s="330"/>
      <c r="R68" s="330"/>
      <c r="S68" s="331"/>
      <c r="T68" s="326" t="s">
        <v>157</v>
      </c>
      <c r="U68" s="327"/>
    </row>
    <row r="69" spans="3:21" ht="6.95" customHeight="1">
      <c r="C69" s="319" t="s">
        <v>158</v>
      </c>
      <c r="D69" s="319" t="s">
        <v>242</v>
      </c>
      <c r="E69" s="319" t="s">
        <v>159</v>
      </c>
      <c r="F69" s="319" t="s">
        <v>260</v>
      </c>
      <c r="I69" s="323"/>
      <c r="J69" s="343"/>
      <c r="K69" s="344"/>
      <c r="L69" s="345"/>
      <c r="M69" s="329"/>
      <c r="N69" s="330"/>
      <c r="O69" s="330"/>
      <c r="P69" s="330"/>
      <c r="Q69" s="330"/>
      <c r="R69" s="330"/>
      <c r="S69" s="331"/>
      <c r="T69" s="316"/>
      <c r="U69" s="328"/>
    </row>
    <row r="70" spans="3:21" ht="6.95" customHeight="1">
      <c r="C70" s="319"/>
      <c r="D70" s="319"/>
      <c r="E70" s="319"/>
      <c r="F70" s="319"/>
      <c r="I70" s="335" t="s">
        <v>261</v>
      </c>
      <c r="J70" s="336"/>
      <c r="K70" s="339" t="s">
        <v>262</v>
      </c>
      <c r="L70" s="340"/>
      <c r="M70" s="329"/>
      <c r="N70" s="330"/>
      <c r="O70" s="330"/>
      <c r="P70" s="330"/>
      <c r="Q70" s="330"/>
      <c r="R70" s="330"/>
      <c r="S70" s="331"/>
      <c r="T70" s="326" t="s">
        <v>160</v>
      </c>
      <c r="U70" s="333"/>
    </row>
    <row r="71" spans="3:21" ht="14.1" customHeight="1" thickBot="1">
      <c r="C71" s="72" t="s">
        <v>161</v>
      </c>
      <c r="D71" s="73"/>
      <c r="E71" s="72"/>
      <c r="F71" s="72"/>
      <c r="I71" s="337"/>
      <c r="J71" s="338"/>
      <c r="K71" s="341"/>
      <c r="L71" s="342"/>
      <c r="M71" s="346"/>
      <c r="N71" s="347"/>
      <c r="O71" s="347"/>
      <c r="P71" s="347"/>
      <c r="Q71" s="347"/>
      <c r="R71" s="347"/>
      <c r="S71" s="348"/>
      <c r="T71" s="332"/>
      <c r="U71" s="334"/>
    </row>
  </sheetData>
  <mergeCells count="88">
    <mergeCell ref="T70:T71"/>
    <mergeCell ref="U70:U71"/>
    <mergeCell ref="C69:C70"/>
    <mergeCell ref="D69:D70"/>
    <mergeCell ref="E69:E70"/>
    <mergeCell ref="F69:F70"/>
    <mergeCell ref="I70:J71"/>
    <mergeCell ref="K70:L71"/>
    <mergeCell ref="I68:J69"/>
    <mergeCell ref="K68:L69"/>
    <mergeCell ref="T68:T69"/>
    <mergeCell ref="U68:U69"/>
    <mergeCell ref="M68:S71"/>
    <mergeCell ref="U64:U65"/>
    <mergeCell ref="C65:C66"/>
    <mergeCell ref="D65:D66"/>
    <mergeCell ref="E65:E66"/>
    <mergeCell ref="F65:F66"/>
    <mergeCell ref="I66:L67"/>
    <mergeCell ref="T66:T67"/>
    <mergeCell ref="U66:U67"/>
    <mergeCell ref="M66:S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1"/>
  <dimension ref="A1:W138"/>
  <sheetViews>
    <sheetView topLeftCell="A130"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84" t="s">
        <v>520</v>
      </c>
      <c r="B1" s="184" t="s">
        <v>516</v>
      </c>
      <c r="C1" s="184" t="s">
        <v>521</v>
      </c>
      <c r="D1" s="184" t="s">
        <v>167</v>
      </c>
      <c r="E1" s="184" t="s">
        <v>166</v>
      </c>
      <c r="F1" s="184" t="s">
        <v>522</v>
      </c>
      <c r="G1" s="184" t="s">
        <v>523</v>
      </c>
      <c r="H1" s="184" t="s">
        <v>498</v>
      </c>
      <c r="I1" s="184" t="s">
        <v>499</v>
      </c>
      <c r="J1" s="184" t="s">
        <v>524</v>
      </c>
      <c r="K1" s="184" t="s">
        <v>910</v>
      </c>
      <c r="M1" s="184" t="s">
        <v>520</v>
      </c>
      <c r="N1" s="184" t="s">
        <v>516</v>
      </c>
      <c r="O1" s="184" t="s">
        <v>521</v>
      </c>
      <c r="P1" s="184" t="s">
        <v>167</v>
      </c>
      <c r="Q1" s="184" t="s">
        <v>166</v>
      </c>
      <c r="R1" s="184" t="s">
        <v>522</v>
      </c>
      <c r="S1" s="184" t="s">
        <v>523</v>
      </c>
      <c r="T1" s="184" t="s">
        <v>498</v>
      </c>
      <c r="U1" s="184" t="s">
        <v>499</v>
      </c>
      <c r="V1" s="184" t="s">
        <v>524</v>
      </c>
      <c r="W1" s="184" t="s">
        <v>910</v>
      </c>
    </row>
    <row r="2" spans="1:23" ht="14.25">
      <c r="A2" s="185">
        <v>1</v>
      </c>
      <c r="B2" s="186" t="s">
        <v>500</v>
      </c>
      <c r="C2" s="187" t="s">
        <v>380</v>
      </c>
      <c r="D2" s="187" t="s">
        <v>525</v>
      </c>
      <c r="E2" s="96" t="s">
        <v>324</v>
      </c>
      <c r="F2" s="257" t="s">
        <v>526</v>
      </c>
      <c r="G2" s="75" t="s">
        <v>400</v>
      </c>
      <c r="H2" s="96" t="s">
        <v>527</v>
      </c>
      <c r="I2" s="96" t="s">
        <v>528</v>
      </c>
      <c r="J2" s="96" t="s">
        <v>401</v>
      </c>
      <c r="K2" s="188" t="s">
        <v>529</v>
      </c>
      <c r="M2" s="185">
        <v>1</v>
      </c>
      <c r="N2" s="106" t="s">
        <v>911</v>
      </c>
      <c r="O2" s="189" t="s">
        <v>912</v>
      </c>
      <c r="P2" s="106" t="s">
        <v>913</v>
      </c>
      <c r="Q2" s="106" t="s">
        <v>172</v>
      </c>
      <c r="R2" s="106" t="s">
        <v>914</v>
      </c>
      <c r="S2" s="75" t="s">
        <v>627</v>
      </c>
      <c r="T2" s="96" t="s">
        <v>915</v>
      </c>
      <c r="U2" s="96" t="s">
        <v>916</v>
      </c>
      <c r="V2" s="97" t="s">
        <v>591</v>
      </c>
      <c r="W2" s="183" t="s">
        <v>917</v>
      </c>
    </row>
    <row r="3" spans="1:23" ht="14.25">
      <c r="A3" s="185">
        <v>2</v>
      </c>
      <c r="B3" s="250" t="s">
        <v>272</v>
      </c>
      <c r="C3" s="75" t="s">
        <v>189</v>
      </c>
      <c r="D3" s="75" t="s">
        <v>530</v>
      </c>
      <c r="E3" s="75" t="s">
        <v>172</v>
      </c>
      <c r="F3" s="258" t="s">
        <v>531</v>
      </c>
      <c r="G3" s="75" t="s">
        <v>400</v>
      </c>
      <c r="H3" s="96" t="s">
        <v>532</v>
      </c>
      <c r="I3" s="96" t="s">
        <v>533</v>
      </c>
      <c r="J3" s="96" t="s">
        <v>401</v>
      </c>
      <c r="K3" s="188" t="s">
        <v>529</v>
      </c>
      <c r="M3" s="185">
        <v>2</v>
      </c>
      <c r="N3" s="96" t="s">
        <v>918</v>
      </c>
      <c r="O3" s="97" t="s">
        <v>919</v>
      </c>
      <c r="P3" s="96" t="s">
        <v>920</v>
      </c>
      <c r="Q3" s="96" t="s">
        <v>171</v>
      </c>
      <c r="R3" s="96" t="s">
        <v>921</v>
      </c>
      <c r="S3" s="75" t="s">
        <v>627</v>
      </c>
      <c r="T3" s="96" t="s">
        <v>922</v>
      </c>
      <c r="U3" s="96" t="s">
        <v>923</v>
      </c>
      <c r="V3" s="97" t="s">
        <v>591</v>
      </c>
      <c r="W3" s="183" t="s">
        <v>924</v>
      </c>
    </row>
    <row r="4" spans="1:23" ht="14.25">
      <c r="A4" s="185">
        <v>3</v>
      </c>
      <c r="B4" s="250" t="s">
        <v>273</v>
      </c>
      <c r="C4" s="75" t="s">
        <v>188</v>
      </c>
      <c r="D4" s="75" t="s">
        <v>534</v>
      </c>
      <c r="E4" s="75" t="s">
        <v>172</v>
      </c>
      <c r="F4" s="258" t="s">
        <v>535</v>
      </c>
      <c r="G4" s="75" t="s">
        <v>400</v>
      </c>
      <c r="H4" s="96" t="s">
        <v>536</v>
      </c>
      <c r="I4" s="96" t="s">
        <v>537</v>
      </c>
      <c r="J4" s="96" t="s">
        <v>401</v>
      </c>
      <c r="K4" s="188" t="s">
        <v>529</v>
      </c>
      <c r="M4" s="185">
        <v>3</v>
      </c>
      <c r="N4" s="96" t="s">
        <v>925</v>
      </c>
      <c r="O4" s="97" t="s">
        <v>926</v>
      </c>
      <c r="P4" s="96" t="s">
        <v>920</v>
      </c>
      <c r="Q4" s="96" t="s">
        <v>171</v>
      </c>
      <c r="R4" s="96" t="s">
        <v>927</v>
      </c>
      <c r="S4" s="75" t="s">
        <v>627</v>
      </c>
      <c r="T4" s="96" t="s">
        <v>928</v>
      </c>
      <c r="U4" s="96" t="s">
        <v>923</v>
      </c>
      <c r="V4" s="97" t="s">
        <v>591</v>
      </c>
      <c r="W4" s="183" t="s">
        <v>929</v>
      </c>
    </row>
    <row r="5" spans="1:23" ht="14.25">
      <c r="A5" s="185">
        <v>4</v>
      </c>
      <c r="B5" s="250" t="s">
        <v>274</v>
      </c>
      <c r="C5" s="75" t="s">
        <v>188</v>
      </c>
      <c r="D5" s="75" t="s">
        <v>538</v>
      </c>
      <c r="E5" s="75" t="s">
        <v>171</v>
      </c>
      <c r="F5" s="258" t="s">
        <v>539</v>
      </c>
      <c r="G5" s="75" t="s">
        <v>400</v>
      </c>
      <c r="H5" s="96" t="s">
        <v>540</v>
      </c>
      <c r="I5" s="96" t="s">
        <v>541</v>
      </c>
      <c r="J5" s="96" t="s">
        <v>401</v>
      </c>
      <c r="K5" s="188" t="s">
        <v>529</v>
      </c>
      <c r="M5" s="185">
        <v>4</v>
      </c>
      <c r="N5" s="96" t="s">
        <v>930</v>
      </c>
      <c r="O5" s="97" t="s">
        <v>926</v>
      </c>
      <c r="P5" s="96" t="s">
        <v>920</v>
      </c>
      <c r="Q5" s="96" t="s">
        <v>171</v>
      </c>
      <c r="R5" s="96" t="s">
        <v>931</v>
      </c>
      <c r="S5" s="75" t="s">
        <v>627</v>
      </c>
      <c r="T5" s="96" t="s">
        <v>928</v>
      </c>
      <c r="U5" s="96" t="s">
        <v>923</v>
      </c>
      <c r="V5" s="97" t="s">
        <v>591</v>
      </c>
      <c r="W5" s="183" t="s">
        <v>932</v>
      </c>
    </row>
    <row r="6" spans="1:23" ht="14.25">
      <c r="A6" s="185">
        <v>5</v>
      </c>
      <c r="B6" s="250" t="s">
        <v>275</v>
      </c>
      <c r="C6" s="75" t="s">
        <v>188</v>
      </c>
      <c r="D6" s="75" t="s">
        <v>534</v>
      </c>
      <c r="E6" s="75" t="s">
        <v>172</v>
      </c>
      <c r="F6" s="258" t="s">
        <v>542</v>
      </c>
      <c r="G6" s="75" t="s">
        <v>400</v>
      </c>
      <c r="H6" s="96" t="s">
        <v>536</v>
      </c>
      <c r="I6" s="96" t="s">
        <v>537</v>
      </c>
      <c r="J6" s="96" t="s">
        <v>401</v>
      </c>
      <c r="K6" s="188" t="s">
        <v>529</v>
      </c>
      <c r="M6" s="185">
        <v>5</v>
      </c>
      <c r="N6" s="97" t="s">
        <v>933</v>
      </c>
      <c r="O6" s="97" t="s">
        <v>926</v>
      </c>
      <c r="P6" s="96" t="s">
        <v>920</v>
      </c>
      <c r="Q6" s="96" t="s">
        <v>171</v>
      </c>
      <c r="R6" s="96" t="s">
        <v>934</v>
      </c>
      <c r="S6" s="75" t="s">
        <v>627</v>
      </c>
      <c r="T6" s="179" t="s">
        <v>935</v>
      </c>
      <c r="U6" s="179" t="s">
        <v>923</v>
      </c>
      <c r="V6" s="97" t="s">
        <v>591</v>
      </c>
      <c r="W6" s="97" t="s">
        <v>936</v>
      </c>
    </row>
    <row r="7" spans="1:23" ht="14.25">
      <c r="A7" s="185">
        <v>6</v>
      </c>
      <c r="B7" s="250" t="s">
        <v>276</v>
      </c>
      <c r="C7" s="75" t="s">
        <v>189</v>
      </c>
      <c r="D7" s="75" t="s">
        <v>534</v>
      </c>
      <c r="E7" s="75" t="s">
        <v>172</v>
      </c>
      <c r="F7" s="258" t="s">
        <v>543</v>
      </c>
      <c r="G7" s="75" t="s">
        <v>400</v>
      </c>
      <c r="H7" s="96" t="s">
        <v>544</v>
      </c>
      <c r="I7" s="96" t="s">
        <v>545</v>
      </c>
      <c r="J7" s="96" t="s">
        <v>401</v>
      </c>
      <c r="K7" s="188" t="s">
        <v>529</v>
      </c>
      <c r="M7" s="185">
        <v>6</v>
      </c>
      <c r="N7" s="186" t="s">
        <v>937</v>
      </c>
      <c r="O7" s="97" t="s">
        <v>926</v>
      </c>
      <c r="P7" s="96" t="s">
        <v>920</v>
      </c>
      <c r="Q7" s="96" t="s">
        <v>171</v>
      </c>
      <c r="R7" s="96" t="s">
        <v>938</v>
      </c>
      <c r="S7" s="75" t="s">
        <v>627</v>
      </c>
      <c r="T7" s="96" t="s">
        <v>935</v>
      </c>
      <c r="U7" s="96" t="s">
        <v>923</v>
      </c>
      <c r="V7" s="97" t="s">
        <v>591</v>
      </c>
      <c r="W7" s="183" t="s">
        <v>939</v>
      </c>
    </row>
    <row r="8" spans="1:23" ht="14.25">
      <c r="A8" s="185">
        <v>7</v>
      </c>
      <c r="B8" s="96" t="s">
        <v>478</v>
      </c>
      <c r="C8" s="96" t="s">
        <v>362</v>
      </c>
      <c r="D8" s="96" t="s">
        <v>546</v>
      </c>
      <c r="E8" s="96" t="s">
        <v>361</v>
      </c>
      <c r="F8" s="255" t="s">
        <v>547</v>
      </c>
      <c r="G8" s="75" t="s">
        <v>400</v>
      </c>
      <c r="H8" s="96" t="s">
        <v>536</v>
      </c>
      <c r="I8" s="96" t="s">
        <v>533</v>
      </c>
      <c r="J8" s="96" t="s">
        <v>401</v>
      </c>
      <c r="K8" s="188" t="s">
        <v>529</v>
      </c>
      <c r="M8" s="185">
        <v>7</v>
      </c>
      <c r="N8" s="96" t="s">
        <v>940</v>
      </c>
      <c r="O8" s="97" t="s">
        <v>941</v>
      </c>
      <c r="P8" s="96" t="s">
        <v>920</v>
      </c>
      <c r="Q8" s="96" t="s">
        <v>171</v>
      </c>
      <c r="R8" s="96" t="s">
        <v>942</v>
      </c>
      <c r="S8" s="75" t="s">
        <v>627</v>
      </c>
      <c r="T8" s="96" t="s">
        <v>928</v>
      </c>
      <c r="U8" s="96" t="s">
        <v>923</v>
      </c>
      <c r="V8" s="97" t="s">
        <v>591</v>
      </c>
      <c r="W8" s="183" t="s">
        <v>943</v>
      </c>
    </row>
    <row r="9" spans="1:23" ht="14.25">
      <c r="A9" s="185">
        <v>8</v>
      </c>
      <c r="B9" s="96" t="s">
        <v>489</v>
      </c>
      <c r="C9" s="96" t="s">
        <v>335</v>
      </c>
      <c r="D9" s="96" t="s">
        <v>548</v>
      </c>
      <c r="E9" s="96" t="s">
        <v>334</v>
      </c>
      <c r="F9" s="255" t="s">
        <v>336</v>
      </c>
      <c r="G9" s="75" t="s">
        <v>400</v>
      </c>
      <c r="H9" s="96" t="s">
        <v>549</v>
      </c>
      <c r="I9" s="96" t="s">
        <v>550</v>
      </c>
      <c r="J9" s="188" t="s">
        <v>529</v>
      </c>
      <c r="K9" s="188" t="s">
        <v>551</v>
      </c>
      <c r="M9" s="185">
        <v>8</v>
      </c>
      <c r="N9" s="96" t="s">
        <v>944</v>
      </c>
      <c r="O9" s="97" t="s">
        <v>945</v>
      </c>
      <c r="P9" s="96" t="s">
        <v>946</v>
      </c>
      <c r="Q9" s="96" t="s">
        <v>171</v>
      </c>
      <c r="R9" s="96" t="s">
        <v>947</v>
      </c>
      <c r="S9" s="75" t="s">
        <v>627</v>
      </c>
      <c r="T9" s="96" t="s">
        <v>532</v>
      </c>
      <c r="U9" s="96" t="s">
        <v>533</v>
      </c>
      <c r="V9" s="97" t="s">
        <v>591</v>
      </c>
      <c r="W9" s="183" t="s">
        <v>948</v>
      </c>
    </row>
    <row r="10" spans="1:23" ht="14.25">
      <c r="A10" s="185">
        <v>9</v>
      </c>
      <c r="B10" s="96" t="s">
        <v>552</v>
      </c>
      <c r="C10" s="96" t="s">
        <v>553</v>
      </c>
      <c r="D10" s="96" t="s">
        <v>554</v>
      </c>
      <c r="E10" s="96" t="s">
        <v>555</v>
      </c>
      <c r="F10" s="255" t="s">
        <v>556</v>
      </c>
      <c r="G10" s="96" t="s">
        <v>400</v>
      </c>
      <c r="H10" s="96" t="s">
        <v>557</v>
      </c>
      <c r="I10" s="96" t="s">
        <v>558</v>
      </c>
      <c r="J10" s="96" t="s">
        <v>401</v>
      </c>
      <c r="K10" s="188" t="s">
        <v>529</v>
      </c>
      <c r="M10" s="185">
        <v>9</v>
      </c>
      <c r="N10" s="96" t="s">
        <v>949</v>
      </c>
      <c r="O10" s="97" t="s">
        <v>945</v>
      </c>
      <c r="P10" s="96" t="s">
        <v>946</v>
      </c>
      <c r="Q10" s="96" t="s">
        <v>171</v>
      </c>
      <c r="R10" s="96" t="s">
        <v>950</v>
      </c>
      <c r="S10" s="75" t="s">
        <v>627</v>
      </c>
      <c r="T10" s="96" t="s">
        <v>532</v>
      </c>
      <c r="U10" s="96" t="s">
        <v>533</v>
      </c>
      <c r="V10" s="97" t="s">
        <v>591</v>
      </c>
      <c r="W10" s="183" t="s">
        <v>951</v>
      </c>
    </row>
    <row r="11" spans="1:23" ht="22.5">
      <c r="A11" s="185">
        <v>10</v>
      </c>
      <c r="B11" s="179" t="s">
        <v>559</v>
      </c>
      <c r="C11" s="96" t="s">
        <v>560</v>
      </c>
      <c r="D11" s="96" t="s">
        <v>561</v>
      </c>
      <c r="E11" s="96" t="s">
        <v>555</v>
      </c>
      <c r="F11" s="255" t="s">
        <v>562</v>
      </c>
      <c r="G11" s="96" t="s">
        <v>400</v>
      </c>
      <c r="H11" s="179" t="s">
        <v>563</v>
      </c>
      <c r="I11" s="179" t="s">
        <v>564</v>
      </c>
      <c r="J11" s="96" t="s">
        <v>401</v>
      </c>
      <c r="K11" s="188" t="s">
        <v>565</v>
      </c>
      <c r="M11" s="185">
        <v>10</v>
      </c>
      <c r="N11" s="96" t="s">
        <v>952</v>
      </c>
      <c r="O11" s="97" t="s">
        <v>945</v>
      </c>
      <c r="P11" s="96" t="s">
        <v>946</v>
      </c>
      <c r="Q11" s="96" t="s">
        <v>171</v>
      </c>
      <c r="R11" s="96" t="s">
        <v>953</v>
      </c>
      <c r="S11" s="75" t="s">
        <v>627</v>
      </c>
      <c r="T11" s="96" t="s">
        <v>954</v>
      </c>
      <c r="U11" s="96" t="s">
        <v>533</v>
      </c>
      <c r="V11" s="97" t="s">
        <v>591</v>
      </c>
      <c r="W11" s="183" t="s">
        <v>955</v>
      </c>
    </row>
    <row r="12" spans="1:23" ht="14.25">
      <c r="A12" s="185">
        <v>11</v>
      </c>
      <c r="B12" s="106" t="s">
        <v>488</v>
      </c>
      <c r="C12" s="190" t="s">
        <v>329</v>
      </c>
      <c r="D12" s="190" t="s">
        <v>566</v>
      </c>
      <c r="E12" s="106" t="s">
        <v>567</v>
      </c>
      <c r="F12" s="260" t="s">
        <v>330</v>
      </c>
      <c r="G12" s="75" t="s">
        <v>400</v>
      </c>
      <c r="H12" s="96" t="s">
        <v>568</v>
      </c>
      <c r="I12" s="96" t="s">
        <v>569</v>
      </c>
      <c r="J12" s="188" t="s">
        <v>529</v>
      </c>
      <c r="K12" s="188" t="s">
        <v>570</v>
      </c>
      <c r="M12" s="185">
        <v>11</v>
      </c>
      <c r="N12" s="96" t="s">
        <v>956</v>
      </c>
      <c r="O12" s="97" t="s">
        <v>945</v>
      </c>
      <c r="P12" s="96" t="s">
        <v>946</v>
      </c>
      <c r="Q12" s="96" t="s">
        <v>171</v>
      </c>
      <c r="R12" s="96" t="s">
        <v>957</v>
      </c>
      <c r="S12" s="75" t="s">
        <v>627</v>
      </c>
      <c r="T12" s="96" t="s">
        <v>532</v>
      </c>
      <c r="U12" s="96" t="s">
        <v>533</v>
      </c>
      <c r="V12" s="97" t="s">
        <v>591</v>
      </c>
      <c r="W12" s="183" t="s">
        <v>958</v>
      </c>
    </row>
    <row r="13" spans="1:23" ht="22.5">
      <c r="A13" s="185">
        <v>12</v>
      </c>
      <c r="B13" s="251" t="s">
        <v>571</v>
      </c>
      <c r="C13" s="105" t="s">
        <v>201</v>
      </c>
      <c r="D13" s="105" t="s">
        <v>572</v>
      </c>
      <c r="E13" s="105" t="s">
        <v>555</v>
      </c>
      <c r="F13" s="256" t="s">
        <v>573</v>
      </c>
      <c r="G13" s="75" t="s">
        <v>400</v>
      </c>
      <c r="H13" s="179" t="s">
        <v>574</v>
      </c>
      <c r="I13" s="179" t="s">
        <v>575</v>
      </c>
      <c r="J13" s="96" t="s">
        <v>401</v>
      </c>
      <c r="K13" s="188" t="s">
        <v>576</v>
      </c>
      <c r="M13" s="185">
        <v>12</v>
      </c>
      <c r="N13" s="96" t="s">
        <v>959</v>
      </c>
      <c r="O13" s="97" t="s">
        <v>960</v>
      </c>
      <c r="P13" s="96" t="s">
        <v>946</v>
      </c>
      <c r="Q13" s="96" t="s">
        <v>171</v>
      </c>
      <c r="R13" s="96" t="s">
        <v>961</v>
      </c>
      <c r="S13" s="75" t="s">
        <v>627</v>
      </c>
      <c r="T13" s="96" t="s">
        <v>532</v>
      </c>
      <c r="U13" s="96" t="s">
        <v>533</v>
      </c>
      <c r="V13" s="97" t="s">
        <v>591</v>
      </c>
      <c r="W13" s="183" t="s">
        <v>962</v>
      </c>
    </row>
    <row r="14" spans="1:23" ht="14.25">
      <c r="A14" s="185">
        <v>13</v>
      </c>
      <c r="B14" s="105" t="s">
        <v>280</v>
      </c>
      <c r="C14" s="105" t="s">
        <v>183</v>
      </c>
      <c r="D14" s="105" t="s">
        <v>577</v>
      </c>
      <c r="E14" s="105" t="s">
        <v>172</v>
      </c>
      <c r="F14" s="256" t="s">
        <v>578</v>
      </c>
      <c r="G14" s="75" t="s">
        <v>400</v>
      </c>
      <c r="H14" s="96" t="s">
        <v>579</v>
      </c>
      <c r="I14" s="96" t="s">
        <v>580</v>
      </c>
      <c r="J14" s="96" t="s">
        <v>401</v>
      </c>
      <c r="K14" s="188" t="s">
        <v>529</v>
      </c>
      <c r="M14" s="185">
        <v>1</v>
      </c>
      <c r="N14" s="75" t="s">
        <v>963</v>
      </c>
      <c r="O14" s="97" t="s">
        <v>788</v>
      </c>
      <c r="P14" s="96" t="s">
        <v>964</v>
      </c>
      <c r="Q14" s="96" t="s">
        <v>171</v>
      </c>
      <c r="R14" s="96" t="s">
        <v>965</v>
      </c>
      <c r="S14" s="75" t="s">
        <v>400</v>
      </c>
      <c r="T14" s="96" t="s">
        <v>966</v>
      </c>
      <c r="U14" s="96" t="s">
        <v>967</v>
      </c>
      <c r="V14" s="97" t="s">
        <v>401</v>
      </c>
      <c r="W14" s="183" t="s">
        <v>792</v>
      </c>
    </row>
    <row r="15" spans="1:23" ht="22.5">
      <c r="A15" s="185">
        <v>14</v>
      </c>
      <c r="B15" s="75" t="s">
        <v>281</v>
      </c>
      <c r="C15" s="75" t="s">
        <v>198</v>
      </c>
      <c r="D15" s="75" t="s">
        <v>581</v>
      </c>
      <c r="E15" s="75" t="s">
        <v>555</v>
      </c>
      <c r="F15" s="258" t="s">
        <v>582</v>
      </c>
      <c r="G15" s="75" t="s">
        <v>400</v>
      </c>
      <c r="H15" s="179" t="s">
        <v>583</v>
      </c>
      <c r="I15" s="179" t="s">
        <v>584</v>
      </c>
      <c r="J15" s="96" t="s">
        <v>401</v>
      </c>
      <c r="K15" s="188" t="s">
        <v>585</v>
      </c>
      <c r="M15" s="185">
        <v>2</v>
      </c>
      <c r="N15" s="75" t="s">
        <v>469</v>
      </c>
      <c r="O15" s="97" t="s">
        <v>793</v>
      </c>
      <c r="P15" s="96" t="s">
        <v>794</v>
      </c>
      <c r="Q15" s="76" t="s">
        <v>715</v>
      </c>
      <c r="R15" s="96" t="s">
        <v>464</v>
      </c>
      <c r="S15" s="75" t="s">
        <v>400</v>
      </c>
      <c r="T15" s="96" t="s">
        <v>795</v>
      </c>
      <c r="U15" s="96" t="s">
        <v>796</v>
      </c>
      <c r="V15" s="97" t="s">
        <v>401</v>
      </c>
      <c r="W15" s="183" t="s">
        <v>797</v>
      </c>
    </row>
    <row r="16" spans="1:23" ht="14.25">
      <c r="A16" s="185">
        <v>15</v>
      </c>
      <c r="B16" s="75" t="s">
        <v>586</v>
      </c>
      <c r="C16" s="75" t="s">
        <v>587</v>
      </c>
      <c r="D16" s="75" t="s">
        <v>588</v>
      </c>
      <c r="E16" s="75" t="s">
        <v>172</v>
      </c>
      <c r="F16" s="258" t="s">
        <v>463</v>
      </c>
      <c r="G16" s="75" t="s">
        <v>400</v>
      </c>
      <c r="H16" s="179" t="s">
        <v>589</v>
      </c>
      <c r="I16" s="179" t="s">
        <v>590</v>
      </c>
      <c r="J16" s="96" t="s">
        <v>591</v>
      </c>
      <c r="K16" s="188" t="s">
        <v>529</v>
      </c>
      <c r="M16" s="185">
        <v>3</v>
      </c>
      <c r="N16" s="75" t="s">
        <v>479</v>
      </c>
      <c r="O16" s="97" t="s">
        <v>799</v>
      </c>
      <c r="P16" s="96" t="s">
        <v>800</v>
      </c>
      <c r="Q16" s="96" t="s">
        <v>801</v>
      </c>
      <c r="R16" s="96" t="s">
        <v>465</v>
      </c>
      <c r="S16" s="75" t="s">
        <v>400</v>
      </c>
      <c r="T16" s="96" t="s">
        <v>802</v>
      </c>
      <c r="U16" s="96" t="s">
        <v>967</v>
      </c>
      <c r="V16" s="97" t="s">
        <v>401</v>
      </c>
      <c r="W16" s="183" t="s">
        <v>803</v>
      </c>
    </row>
    <row r="17" spans="1:23" ht="22.5">
      <c r="A17" s="185">
        <v>16</v>
      </c>
      <c r="B17" s="75" t="s">
        <v>592</v>
      </c>
      <c r="C17" s="75" t="s">
        <v>593</v>
      </c>
      <c r="D17" s="75" t="s">
        <v>594</v>
      </c>
      <c r="E17" s="75" t="s">
        <v>555</v>
      </c>
      <c r="F17" s="258" t="s">
        <v>595</v>
      </c>
      <c r="G17" s="75" t="s">
        <v>400</v>
      </c>
      <c r="H17" s="179" t="s">
        <v>596</v>
      </c>
      <c r="I17" s="179" t="s">
        <v>597</v>
      </c>
      <c r="J17" s="96" t="s">
        <v>591</v>
      </c>
      <c r="K17" s="188" t="s">
        <v>576</v>
      </c>
      <c r="M17" s="193">
        <v>1</v>
      </c>
      <c r="N17" s="186" t="s">
        <v>504</v>
      </c>
      <c r="O17" s="96" t="s">
        <v>968</v>
      </c>
      <c r="P17" s="96" t="s">
        <v>969</v>
      </c>
      <c r="Q17" s="97" t="s">
        <v>970</v>
      </c>
      <c r="R17" s="96" t="s">
        <v>971</v>
      </c>
      <c r="S17" s="75" t="s">
        <v>972</v>
      </c>
      <c r="T17" s="96" t="s">
        <v>973</v>
      </c>
      <c r="U17" s="96" t="s">
        <v>974</v>
      </c>
      <c r="V17" s="96" t="s">
        <v>975</v>
      </c>
      <c r="W17" s="96" t="s">
        <v>975</v>
      </c>
    </row>
    <row r="18" spans="1:23" ht="14.25">
      <c r="A18" s="185">
        <v>17</v>
      </c>
      <c r="B18" s="96" t="s">
        <v>598</v>
      </c>
      <c r="C18" s="96" t="s">
        <v>599</v>
      </c>
      <c r="D18" s="96" t="s">
        <v>602</v>
      </c>
      <c r="E18" s="96" t="s">
        <v>601</v>
      </c>
      <c r="F18" s="255" t="s">
        <v>600</v>
      </c>
      <c r="G18" s="75" t="s">
        <v>400</v>
      </c>
      <c r="H18" s="179" t="s">
        <v>603</v>
      </c>
      <c r="I18" s="179" t="s">
        <v>604</v>
      </c>
      <c r="J18" s="96" t="s">
        <v>529</v>
      </c>
      <c r="K18" s="188" t="s">
        <v>570</v>
      </c>
    </row>
    <row r="19" spans="1:23" ht="14.25">
      <c r="A19" s="185">
        <v>18</v>
      </c>
      <c r="B19" s="96" t="s">
        <v>605</v>
      </c>
      <c r="C19" s="96" t="s">
        <v>606</v>
      </c>
      <c r="D19" s="96" t="s">
        <v>602</v>
      </c>
      <c r="E19" s="96" t="s">
        <v>601</v>
      </c>
      <c r="F19" s="255" t="s">
        <v>607</v>
      </c>
      <c r="G19" s="75" t="s">
        <v>400</v>
      </c>
      <c r="H19" s="179" t="s">
        <v>603</v>
      </c>
      <c r="I19" s="179" t="s">
        <v>608</v>
      </c>
      <c r="J19" s="96" t="s">
        <v>529</v>
      </c>
      <c r="K19" s="188" t="s">
        <v>570</v>
      </c>
    </row>
    <row r="20" spans="1:23" ht="22.5">
      <c r="A20" s="185">
        <v>19</v>
      </c>
      <c r="B20" s="75" t="s">
        <v>609</v>
      </c>
      <c r="C20" s="108" t="s">
        <v>200</v>
      </c>
      <c r="D20" s="75" t="s">
        <v>594</v>
      </c>
      <c r="E20" s="75" t="s">
        <v>555</v>
      </c>
      <c r="F20" s="258" t="s">
        <v>610</v>
      </c>
      <c r="G20" s="75" t="s">
        <v>400</v>
      </c>
      <c r="H20" s="179" t="s">
        <v>611</v>
      </c>
      <c r="I20" s="179" t="s">
        <v>612</v>
      </c>
      <c r="J20" s="96" t="s">
        <v>401</v>
      </c>
      <c r="K20" s="188" t="s">
        <v>576</v>
      </c>
    </row>
    <row r="21" spans="1:23" ht="14.25">
      <c r="A21" s="185">
        <v>20</v>
      </c>
      <c r="B21" s="75" t="s">
        <v>613</v>
      </c>
      <c r="C21" s="75" t="s">
        <v>185</v>
      </c>
      <c r="D21" s="75" t="s">
        <v>614</v>
      </c>
      <c r="E21" s="75" t="s">
        <v>555</v>
      </c>
      <c r="F21" s="258" t="s">
        <v>615</v>
      </c>
      <c r="G21" s="75" t="s">
        <v>400</v>
      </c>
      <c r="H21" s="96" t="s">
        <v>616</v>
      </c>
      <c r="I21" s="96" t="s">
        <v>558</v>
      </c>
      <c r="J21" s="96" t="s">
        <v>401</v>
      </c>
      <c r="K21" s="188" t="s">
        <v>529</v>
      </c>
    </row>
    <row r="22" spans="1:23" ht="22.5">
      <c r="A22" s="185">
        <v>21</v>
      </c>
      <c r="B22" s="75" t="s">
        <v>617</v>
      </c>
      <c r="C22" s="75" t="s">
        <v>618</v>
      </c>
      <c r="D22" s="75" t="s">
        <v>619</v>
      </c>
      <c r="E22" s="75" t="s">
        <v>171</v>
      </c>
      <c r="F22" s="258" t="s">
        <v>620</v>
      </c>
      <c r="G22" s="75" t="s">
        <v>400</v>
      </c>
      <c r="H22" s="179" t="s">
        <v>621</v>
      </c>
      <c r="I22" s="179" t="s">
        <v>622</v>
      </c>
      <c r="J22" s="96" t="s">
        <v>401</v>
      </c>
      <c r="K22" s="188" t="s">
        <v>585</v>
      </c>
    </row>
    <row r="23" spans="1:23" ht="14.25">
      <c r="A23" s="185">
        <v>22</v>
      </c>
      <c r="B23" s="75" t="s">
        <v>623</v>
      </c>
      <c r="C23" s="75" t="s">
        <v>618</v>
      </c>
      <c r="D23" s="75" t="s">
        <v>624</v>
      </c>
      <c r="E23" s="75" t="s">
        <v>625</v>
      </c>
      <c r="F23" s="258" t="s">
        <v>626</v>
      </c>
      <c r="G23" s="75" t="s">
        <v>627</v>
      </c>
      <c r="H23" s="179" t="s">
        <v>628</v>
      </c>
      <c r="I23" s="179" t="s">
        <v>629</v>
      </c>
      <c r="J23" s="96" t="s">
        <v>529</v>
      </c>
      <c r="K23" s="188" t="s">
        <v>630</v>
      </c>
    </row>
    <row r="24" spans="1:23" ht="14.25">
      <c r="A24" s="185">
        <v>1</v>
      </c>
      <c r="B24" s="186" t="s">
        <v>487</v>
      </c>
      <c r="C24" s="96" t="s">
        <v>350</v>
      </c>
      <c r="D24" s="96" t="s">
        <v>631</v>
      </c>
      <c r="E24" s="96" t="s">
        <v>632</v>
      </c>
      <c r="F24" s="255" t="s">
        <v>633</v>
      </c>
      <c r="G24" s="75" t="s">
        <v>400</v>
      </c>
      <c r="H24" s="96" t="s">
        <v>634</v>
      </c>
      <c r="I24" s="96" t="s">
        <v>635</v>
      </c>
      <c r="J24" s="188" t="s">
        <v>636</v>
      </c>
      <c r="K24" s="188" t="s">
        <v>636</v>
      </c>
    </row>
    <row r="25" spans="1:23" ht="14.25">
      <c r="A25" s="185">
        <v>2</v>
      </c>
      <c r="B25" s="186" t="s">
        <v>475</v>
      </c>
      <c r="C25" s="96" t="s">
        <v>337</v>
      </c>
      <c r="D25" s="96" t="s">
        <v>637</v>
      </c>
      <c r="E25" s="96" t="s">
        <v>638</v>
      </c>
      <c r="F25" s="255" t="s">
        <v>639</v>
      </c>
      <c r="G25" s="75" t="s">
        <v>400</v>
      </c>
      <c r="H25" s="96" t="s">
        <v>640</v>
      </c>
      <c r="I25" s="96" t="s">
        <v>641</v>
      </c>
      <c r="J25" s="188" t="s">
        <v>636</v>
      </c>
      <c r="K25" s="188" t="s">
        <v>642</v>
      </c>
    </row>
    <row r="26" spans="1:23" ht="14.25">
      <c r="A26" s="185">
        <v>3</v>
      </c>
      <c r="B26" s="186" t="s">
        <v>476</v>
      </c>
      <c r="C26" s="96" t="s">
        <v>198</v>
      </c>
      <c r="D26" s="96" t="s">
        <v>637</v>
      </c>
      <c r="E26" s="96" t="s">
        <v>638</v>
      </c>
      <c r="F26" s="255" t="s">
        <v>643</v>
      </c>
      <c r="G26" s="75" t="s">
        <v>400</v>
      </c>
      <c r="H26" s="96" t="s">
        <v>640</v>
      </c>
      <c r="I26" s="96" t="s">
        <v>641</v>
      </c>
      <c r="J26" s="188" t="s">
        <v>636</v>
      </c>
      <c r="K26" s="188" t="s">
        <v>642</v>
      </c>
    </row>
    <row r="27" spans="1:23" ht="14.25">
      <c r="A27" s="185">
        <v>4</v>
      </c>
      <c r="B27" s="186" t="s">
        <v>492</v>
      </c>
      <c r="C27" s="96" t="s">
        <v>338</v>
      </c>
      <c r="D27" s="96" t="s">
        <v>644</v>
      </c>
      <c r="E27" s="96" t="s">
        <v>334</v>
      </c>
      <c r="F27" s="255" t="s">
        <v>339</v>
      </c>
      <c r="G27" s="75" t="s">
        <v>400</v>
      </c>
      <c r="H27" s="96" t="s">
        <v>645</v>
      </c>
      <c r="I27" s="96" t="s">
        <v>646</v>
      </c>
      <c r="J27" s="188" t="s">
        <v>529</v>
      </c>
      <c r="K27" s="188" t="s">
        <v>570</v>
      </c>
    </row>
    <row r="28" spans="1:23" ht="14.25">
      <c r="A28" s="185">
        <v>5</v>
      </c>
      <c r="B28" s="186" t="s">
        <v>491</v>
      </c>
      <c r="C28" s="96" t="s">
        <v>338</v>
      </c>
      <c r="D28" s="96" t="s">
        <v>644</v>
      </c>
      <c r="E28" s="96" t="s">
        <v>334</v>
      </c>
      <c r="F28" s="255" t="s">
        <v>340</v>
      </c>
      <c r="G28" s="75" t="s">
        <v>400</v>
      </c>
      <c r="H28" s="96" t="s">
        <v>645</v>
      </c>
      <c r="I28" s="96" t="s">
        <v>646</v>
      </c>
      <c r="J28" s="188" t="s">
        <v>529</v>
      </c>
      <c r="K28" s="188" t="s">
        <v>570</v>
      </c>
    </row>
    <row r="29" spans="1:23" ht="14.25">
      <c r="A29" s="185">
        <v>6</v>
      </c>
      <c r="B29" s="186" t="s">
        <v>490</v>
      </c>
      <c r="C29" s="96" t="s">
        <v>341</v>
      </c>
      <c r="D29" s="96" t="s">
        <v>647</v>
      </c>
      <c r="E29" s="96" t="s">
        <v>334</v>
      </c>
      <c r="F29" s="255" t="s">
        <v>342</v>
      </c>
      <c r="G29" s="75" t="s">
        <v>400</v>
      </c>
      <c r="H29" s="96" t="s">
        <v>648</v>
      </c>
      <c r="I29" s="96" t="s">
        <v>649</v>
      </c>
      <c r="J29" s="188" t="s">
        <v>529</v>
      </c>
      <c r="K29" s="188" t="s">
        <v>570</v>
      </c>
    </row>
    <row r="30" spans="1:23" ht="14.25">
      <c r="A30" s="185">
        <v>7</v>
      </c>
      <c r="B30" s="186" t="s">
        <v>493</v>
      </c>
      <c r="C30" s="96" t="s">
        <v>343</v>
      </c>
      <c r="D30" s="96" t="s">
        <v>647</v>
      </c>
      <c r="E30" s="96" t="s">
        <v>334</v>
      </c>
      <c r="F30" s="255" t="s">
        <v>344</v>
      </c>
      <c r="G30" s="75" t="s">
        <v>400</v>
      </c>
      <c r="H30" s="96" t="s">
        <v>648</v>
      </c>
      <c r="I30" s="96" t="s">
        <v>650</v>
      </c>
      <c r="J30" s="188" t="s">
        <v>529</v>
      </c>
      <c r="K30" s="188" t="s">
        <v>570</v>
      </c>
    </row>
    <row r="31" spans="1:23" ht="14.25">
      <c r="A31" s="185">
        <v>8</v>
      </c>
      <c r="B31" s="186" t="s">
        <v>494</v>
      </c>
      <c r="C31" s="96" t="s">
        <v>343</v>
      </c>
      <c r="D31" s="96" t="s">
        <v>647</v>
      </c>
      <c r="E31" s="96" t="s">
        <v>334</v>
      </c>
      <c r="F31" s="255" t="s">
        <v>345</v>
      </c>
      <c r="G31" s="75" t="s">
        <v>400</v>
      </c>
      <c r="H31" s="96" t="s">
        <v>648</v>
      </c>
      <c r="I31" s="96" t="s">
        <v>650</v>
      </c>
      <c r="J31" s="188" t="s">
        <v>529</v>
      </c>
      <c r="K31" s="188" t="s">
        <v>570</v>
      </c>
    </row>
    <row r="32" spans="1:23" ht="14.25">
      <c r="A32" s="185">
        <v>9</v>
      </c>
      <c r="B32" s="186" t="s">
        <v>495</v>
      </c>
      <c r="C32" s="96" t="s">
        <v>343</v>
      </c>
      <c r="D32" s="96" t="s">
        <v>647</v>
      </c>
      <c r="E32" s="96" t="s">
        <v>334</v>
      </c>
      <c r="F32" s="255" t="s">
        <v>346</v>
      </c>
      <c r="G32" s="75" t="s">
        <v>400</v>
      </c>
      <c r="H32" s="96" t="s">
        <v>648</v>
      </c>
      <c r="I32" s="96" t="s">
        <v>650</v>
      </c>
      <c r="J32" s="188" t="s">
        <v>529</v>
      </c>
      <c r="K32" s="188" t="s">
        <v>570</v>
      </c>
    </row>
    <row r="33" spans="1:11" ht="22.5">
      <c r="A33" s="185">
        <v>10</v>
      </c>
      <c r="B33" s="105" t="s">
        <v>277</v>
      </c>
      <c r="C33" s="105" t="s">
        <v>198</v>
      </c>
      <c r="D33" s="105" t="s">
        <v>594</v>
      </c>
      <c r="E33" s="105" t="s">
        <v>555</v>
      </c>
      <c r="F33" s="256" t="s">
        <v>651</v>
      </c>
      <c r="G33" s="75" t="s">
        <v>400</v>
      </c>
      <c r="H33" s="179" t="s">
        <v>652</v>
      </c>
      <c r="I33" s="179" t="s">
        <v>653</v>
      </c>
      <c r="J33" s="96" t="s">
        <v>401</v>
      </c>
      <c r="K33" s="188" t="s">
        <v>576</v>
      </c>
    </row>
    <row r="34" spans="1:11" ht="22.5">
      <c r="A34" s="185">
        <v>11</v>
      </c>
      <c r="B34" s="105" t="s">
        <v>278</v>
      </c>
      <c r="C34" s="105" t="s">
        <v>197</v>
      </c>
      <c r="D34" s="105" t="s">
        <v>594</v>
      </c>
      <c r="E34" s="105" t="s">
        <v>555</v>
      </c>
      <c r="F34" s="256" t="s">
        <v>654</v>
      </c>
      <c r="G34" s="75" t="s">
        <v>400</v>
      </c>
      <c r="H34" s="179" t="s">
        <v>655</v>
      </c>
      <c r="I34" s="179" t="s">
        <v>656</v>
      </c>
      <c r="J34" s="96" t="s">
        <v>401</v>
      </c>
      <c r="K34" s="188" t="s">
        <v>576</v>
      </c>
    </row>
    <row r="35" spans="1:11" ht="14.25">
      <c r="A35" s="185">
        <v>12</v>
      </c>
      <c r="B35" s="106" t="s">
        <v>480</v>
      </c>
      <c r="C35" s="106" t="s">
        <v>366</v>
      </c>
      <c r="D35" s="106" t="s">
        <v>657</v>
      </c>
      <c r="E35" s="106" t="s">
        <v>324</v>
      </c>
      <c r="F35" s="259" t="s">
        <v>658</v>
      </c>
      <c r="G35" s="75" t="s">
        <v>400</v>
      </c>
      <c r="H35" s="96" t="s">
        <v>557</v>
      </c>
      <c r="I35" s="96" t="s">
        <v>558</v>
      </c>
      <c r="J35" s="96" t="s">
        <v>401</v>
      </c>
      <c r="K35" s="188" t="s">
        <v>529</v>
      </c>
    </row>
    <row r="36" spans="1:11" ht="14.25">
      <c r="A36" s="185">
        <v>13</v>
      </c>
      <c r="B36" s="105" t="s">
        <v>279</v>
      </c>
      <c r="C36" s="105" t="s">
        <v>197</v>
      </c>
      <c r="D36" s="105" t="s">
        <v>659</v>
      </c>
      <c r="E36" s="105" t="s">
        <v>555</v>
      </c>
      <c r="F36" s="256" t="s">
        <v>660</v>
      </c>
      <c r="G36" s="75" t="s">
        <v>400</v>
      </c>
      <c r="H36" s="96" t="s">
        <v>661</v>
      </c>
      <c r="I36" s="96" t="s">
        <v>662</v>
      </c>
      <c r="J36" s="96" t="s">
        <v>401</v>
      </c>
      <c r="K36" s="188" t="s">
        <v>529</v>
      </c>
    </row>
    <row r="37" spans="1:11" ht="22.5">
      <c r="A37" s="185">
        <v>14</v>
      </c>
      <c r="B37" s="75" t="s">
        <v>663</v>
      </c>
      <c r="C37" s="96" t="s">
        <v>327</v>
      </c>
      <c r="D37" s="96" t="s">
        <v>664</v>
      </c>
      <c r="E37" s="96" t="s">
        <v>324</v>
      </c>
      <c r="F37" s="255" t="s">
        <v>665</v>
      </c>
      <c r="G37" s="75" t="s">
        <v>400</v>
      </c>
      <c r="H37" s="179" t="s">
        <v>666</v>
      </c>
      <c r="I37" s="179" t="s">
        <v>667</v>
      </c>
      <c r="J37" s="96" t="s">
        <v>401</v>
      </c>
      <c r="K37" s="188" t="s">
        <v>529</v>
      </c>
    </row>
    <row r="38" spans="1:11" ht="14.25">
      <c r="A38" s="185">
        <v>15</v>
      </c>
      <c r="B38" s="75" t="s">
        <v>668</v>
      </c>
      <c r="C38" s="96" t="s">
        <v>362</v>
      </c>
      <c r="D38" s="96" t="s">
        <v>669</v>
      </c>
      <c r="E38" s="96" t="s">
        <v>361</v>
      </c>
      <c r="F38" s="255" t="s">
        <v>670</v>
      </c>
      <c r="G38" s="75" t="s">
        <v>400</v>
      </c>
      <c r="H38" s="179" t="s">
        <v>671</v>
      </c>
      <c r="I38" s="179" t="s">
        <v>662</v>
      </c>
      <c r="J38" s="96" t="s">
        <v>401</v>
      </c>
      <c r="K38" s="188" t="s">
        <v>529</v>
      </c>
    </row>
    <row r="39" spans="1:11" ht="14.25">
      <c r="A39" s="185">
        <v>16</v>
      </c>
      <c r="B39" s="186" t="s">
        <v>672</v>
      </c>
      <c r="C39" s="96" t="s">
        <v>382</v>
      </c>
      <c r="D39" s="96" t="s">
        <v>673</v>
      </c>
      <c r="E39" s="96" t="s">
        <v>324</v>
      </c>
      <c r="F39" s="255" t="s">
        <v>674</v>
      </c>
      <c r="G39" s="75" t="s">
        <v>400</v>
      </c>
      <c r="H39" s="96" t="s">
        <v>675</v>
      </c>
      <c r="I39" s="96" t="s">
        <v>528</v>
      </c>
      <c r="J39" s="96" t="s">
        <v>401</v>
      </c>
      <c r="K39" s="188" t="s">
        <v>529</v>
      </c>
    </row>
    <row r="40" spans="1:11" ht="22.5">
      <c r="A40" s="185">
        <v>17</v>
      </c>
      <c r="B40" s="75" t="s">
        <v>676</v>
      </c>
      <c r="C40" s="75" t="s">
        <v>293</v>
      </c>
      <c r="D40" s="75" t="s">
        <v>594</v>
      </c>
      <c r="E40" s="75" t="s">
        <v>555</v>
      </c>
      <c r="F40" s="258" t="s">
        <v>677</v>
      </c>
      <c r="G40" s="75" t="s">
        <v>400</v>
      </c>
      <c r="H40" s="179" t="s">
        <v>678</v>
      </c>
      <c r="I40" s="179" t="s">
        <v>679</v>
      </c>
      <c r="J40" s="96" t="s">
        <v>591</v>
      </c>
      <c r="K40" s="188" t="s">
        <v>576</v>
      </c>
    </row>
    <row r="41" spans="1:11" ht="14.25">
      <c r="A41" s="185" t="s">
        <v>976</v>
      </c>
      <c r="B41" s="186" t="s">
        <v>502</v>
      </c>
      <c r="C41" s="96" t="s">
        <v>358</v>
      </c>
      <c r="D41" s="96" t="s">
        <v>359</v>
      </c>
      <c r="E41" s="96" t="s">
        <v>680</v>
      </c>
      <c r="F41" s="255" t="s">
        <v>977</v>
      </c>
      <c r="G41" s="75" t="s">
        <v>400</v>
      </c>
      <c r="H41" s="96" t="s">
        <v>681</v>
      </c>
      <c r="I41" s="96" t="s">
        <v>682</v>
      </c>
      <c r="J41" s="188" t="s">
        <v>529</v>
      </c>
      <c r="K41" s="188" t="s">
        <v>529</v>
      </c>
    </row>
    <row r="42" spans="1:11" ht="14.25">
      <c r="A42" s="185">
        <v>1</v>
      </c>
      <c r="B42" s="96" t="s">
        <v>471</v>
      </c>
      <c r="C42" s="96" t="s">
        <v>184</v>
      </c>
      <c r="D42" s="96" t="s">
        <v>683</v>
      </c>
      <c r="E42" s="96" t="s">
        <v>684</v>
      </c>
      <c r="F42" s="255" t="s">
        <v>685</v>
      </c>
      <c r="G42" s="75" t="s">
        <v>400</v>
      </c>
      <c r="H42" s="96" t="s">
        <v>686</v>
      </c>
      <c r="I42" s="96" t="s">
        <v>687</v>
      </c>
      <c r="J42" s="96" t="s">
        <v>404</v>
      </c>
      <c r="K42" s="96" t="s">
        <v>636</v>
      </c>
    </row>
    <row r="43" spans="1:11" ht="22.5">
      <c r="A43" s="185">
        <v>2</v>
      </c>
      <c r="B43" s="96" t="s">
        <v>486</v>
      </c>
      <c r="C43" s="96" t="s">
        <v>290</v>
      </c>
      <c r="D43" s="96" t="s">
        <v>688</v>
      </c>
      <c r="E43" s="96" t="s">
        <v>689</v>
      </c>
      <c r="F43" s="255" t="s">
        <v>690</v>
      </c>
      <c r="G43" s="75" t="s">
        <v>402</v>
      </c>
      <c r="H43" s="179" t="s">
        <v>691</v>
      </c>
      <c r="I43" s="179" t="s">
        <v>692</v>
      </c>
      <c r="J43" s="96" t="s">
        <v>401</v>
      </c>
      <c r="K43" s="96" t="s">
        <v>636</v>
      </c>
    </row>
    <row r="44" spans="1:11" ht="22.5">
      <c r="A44" s="185">
        <v>3</v>
      </c>
      <c r="B44" s="96" t="s">
        <v>482</v>
      </c>
      <c r="C44" s="96" t="s">
        <v>317</v>
      </c>
      <c r="D44" s="96" t="s">
        <v>693</v>
      </c>
      <c r="E44" s="96" t="s">
        <v>694</v>
      </c>
      <c r="F44" s="255" t="s">
        <v>695</v>
      </c>
      <c r="G44" s="75" t="s">
        <v>402</v>
      </c>
      <c r="H44" s="179" t="s">
        <v>691</v>
      </c>
      <c r="I44" s="179" t="s">
        <v>696</v>
      </c>
      <c r="J44" s="96" t="s">
        <v>401</v>
      </c>
      <c r="K44" s="188" t="s">
        <v>697</v>
      </c>
    </row>
    <row r="45" spans="1:11" ht="14.25">
      <c r="A45" s="185">
        <v>4</v>
      </c>
      <c r="B45" s="96" t="s">
        <v>470</v>
      </c>
      <c r="C45" s="96" t="s">
        <v>320</v>
      </c>
      <c r="D45" s="96" t="s">
        <v>698</v>
      </c>
      <c r="E45" s="96" t="s">
        <v>684</v>
      </c>
      <c r="F45" s="255" t="s">
        <v>699</v>
      </c>
      <c r="G45" s="75" t="s">
        <v>400</v>
      </c>
      <c r="H45" s="96" t="s">
        <v>700</v>
      </c>
      <c r="I45" s="96" t="s">
        <v>701</v>
      </c>
      <c r="J45" s="96" t="s">
        <v>404</v>
      </c>
      <c r="K45" s="96" t="s">
        <v>636</v>
      </c>
    </row>
    <row r="46" spans="1:11" ht="14.25">
      <c r="A46" s="185">
        <v>5</v>
      </c>
      <c r="B46" s="96" t="s">
        <v>501</v>
      </c>
      <c r="C46" s="96" t="s">
        <v>322</v>
      </c>
      <c r="D46" s="96" t="s">
        <v>702</v>
      </c>
      <c r="E46" s="96" t="s">
        <v>172</v>
      </c>
      <c r="F46" s="255" t="s">
        <v>703</v>
      </c>
      <c r="G46" s="75" t="s">
        <v>400</v>
      </c>
      <c r="H46" s="96" t="s">
        <v>704</v>
      </c>
      <c r="I46" s="96" t="s">
        <v>705</v>
      </c>
      <c r="J46" s="96" t="s">
        <v>401</v>
      </c>
      <c r="K46" s="96" t="s">
        <v>636</v>
      </c>
    </row>
    <row r="47" spans="1:11" ht="14.25">
      <c r="A47" s="185">
        <v>1</v>
      </c>
      <c r="B47" s="106" t="s">
        <v>483</v>
      </c>
      <c r="C47" s="190" t="s">
        <v>191</v>
      </c>
      <c r="D47" s="106" t="s">
        <v>706</v>
      </c>
      <c r="E47" s="106" t="s">
        <v>707</v>
      </c>
      <c r="F47" s="259" t="s">
        <v>519</v>
      </c>
      <c r="G47" s="75" t="s">
        <v>400</v>
      </c>
      <c r="H47" s="96" t="s">
        <v>517</v>
      </c>
      <c r="I47" s="96" t="s">
        <v>518</v>
      </c>
      <c r="J47" s="96" t="s">
        <v>401</v>
      </c>
      <c r="K47" s="188" t="s">
        <v>636</v>
      </c>
    </row>
    <row r="48" spans="1:11" ht="14.25">
      <c r="A48" s="185">
        <v>2</v>
      </c>
      <c r="B48" s="106" t="s">
        <v>484</v>
      </c>
      <c r="C48" s="106" t="s">
        <v>322</v>
      </c>
      <c r="D48" s="106" t="s">
        <v>706</v>
      </c>
      <c r="E48" s="106" t="s">
        <v>707</v>
      </c>
      <c r="F48" s="259" t="s">
        <v>708</v>
      </c>
      <c r="G48" s="75" t="s">
        <v>400</v>
      </c>
      <c r="H48" s="96" t="s">
        <v>517</v>
      </c>
      <c r="I48" s="96" t="s">
        <v>518</v>
      </c>
      <c r="J48" s="96" t="s">
        <v>401</v>
      </c>
      <c r="K48" s="188" t="s">
        <v>636</v>
      </c>
    </row>
    <row r="49" spans="1:11" ht="14.25">
      <c r="A49" s="185">
        <v>3</v>
      </c>
      <c r="B49" s="96" t="s">
        <v>477</v>
      </c>
      <c r="C49" s="191" t="s">
        <v>385</v>
      </c>
      <c r="D49" s="96" t="s">
        <v>709</v>
      </c>
      <c r="E49" s="96" t="s">
        <v>324</v>
      </c>
      <c r="F49" s="255" t="s">
        <v>710</v>
      </c>
      <c r="G49" s="75" t="s">
        <v>400</v>
      </c>
      <c r="H49" s="96" t="s">
        <v>711</v>
      </c>
      <c r="I49" s="96" t="s">
        <v>712</v>
      </c>
      <c r="J49" s="96" t="s">
        <v>404</v>
      </c>
      <c r="K49" s="188" t="s">
        <v>636</v>
      </c>
    </row>
    <row r="50" spans="1:11" ht="22.5">
      <c r="A50" s="185">
        <v>4</v>
      </c>
      <c r="B50" s="75" t="s">
        <v>713</v>
      </c>
      <c r="C50" s="75" t="s">
        <v>341</v>
      </c>
      <c r="D50" s="75" t="s">
        <v>714</v>
      </c>
      <c r="E50" s="75" t="s">
        <v>715</v>
      </c>
      <c r="F50" s="258" t="s">
        <v>716</v>
      </c>
      <c r="G50" s="75" t="s">
        <v>400</v>
      </c>
      <c r="H50" s="179" t="s">
        <v>717</v>
      </c>
      <c r="I50" s="179" t="s">
        <v>718</v>
      </c>
      <c r="J50" s="96" t="s">
        <v>401</v>
      </c>
      <c r="K50" s="188" t="s">
        <v>719</v>
      </c>
    </row>
    <row r="51" spans="1:11" ht="14.25">
      <c r="A51" s="185">
        <v>5</v>
      </c>
      <c r="B51" s="75" t="s">
        <v>720</v>
      </c>
      <c r="C51" s="96" t="s">
        <v>373</v>
      </c>
      <c r="D51" s="96" t="s">
        <v>721</v>
      </c>
      <c r="E51" s="96" t="s">
        <v>324</v>
      </c>
      <c r="F51" s="255" t="s">
        <v>722</v>
      </c>
      <c r="G51" s="75" t="s">
        <v>400</v>
      </c>
      <c r="H51" s="96" t="s">
        <v>517</v>
      </c>
      <c r="I51" s="96" t="s">
        <v>723</v>
      </c>
      <c r="J51" s="96" t="s">
        <v>401</v>
      </c>
      <c r="K51" s="188" t="s">
        <v>636</v>
      </c>
    </row>
    <row r="52" spans="1:11" ht="22.5">
      <c r="A52" s="185">
        <v>6</v>
      </c>
      <c r="B52" s="75" t="s">
        <v>724</v>
      </c>
      <c r="C52" s="75" t="s">
        <v>593</v>
      </c>
      <c r="D52" s="75" t="s">
        <v>725</v>
      </c>
      <c r="E52" s="75" t="s">
        <v>171</v>
      </c>
      <c r="F52" s="258" t="s">
        <v>726</v>
      </c>
      <c r="G52" s="75" t="s">
        <v>400</v>
      </c>
      <c r="H52" s="179" t="s">
        <v>727</v>
      </c>
      <c r="I52" s="179" t="s">
        <v>728</v>
      </c>
      <c r="J52" s="96" t="s">
        <v>591</v>
      </c>
      <c r="K52" s="188" t="s">
        <v>719</v>
      </c>
    </row>
    <row r="53" spans="1:11" ht="14.25">
      <c r="A53" s="185">
        <v>7</v>
      </c>
      <c r="B53" s="75" t="s">
        <v>729</v>
      </c>
      <c r="C53" s="96" t="s">
        <v>730</v>
      </c>
      <c r="D53" s="96" t="s">
        <v>731</v>
      </c>
      <c r="E53" s="96" t="s">
        <v>172</v>
      </c>
      <c r="F53" s="255" t="s">
        <v>732</v>
      </c>
      <c r="G53" s="75" t="s">
        <v>400</v>
      </c>
      <c r="H53" s="96" t="s">
        <v>733</v>
      </c>
      <c r="I53" s="96" t="s">
        <v>734</v>
      </c>
      <c r="J53" s="96" t="s">
        <v>591</v>
      </c>
      <c r="K53" s="188" t="s">
        <v>636</v>
      </c>
    </row>
    <row r="54" spans="1:11" ht="14.25">
      <c r="A54" s="185">
        <v>8</v>
      </c>
      <c r="B54" s="75" t="s">
        <v>735</v>
      </c>
      <c r="C54" s="96" t="s">
        <v>736</v>
      </c>
      <c r="D54" s="96" t="s">
        <v>737</v>
      </c>
      <c r="E54" s="96" t="s">
        <v>172</v>
      </c>
      <c r="F54" s="255" t="s">
        <v>738</v>
      </c>
      <c r="G54" s="75" t="s">
        <v>400</v>
      </c>
      <c r="H54" s="96" t="s">
        <v>739</v>
      </c>
      <c r="I54" s="96" t="s">
        <v>740</v>
      </c>
      <c r="J54" s="96" t="s">
        <v>591</v>
      </c>
      <c r="K54" s="188" t="s">
        <v>636</v>
      </c>
    </row>
    <row r="55" spans="1:11" ht="14.25">
      <c r="A55" s="185">
        <v>9</v>
      </c>
      <c r="B55" s="75" t="s">
        <v>481</v>
      </c>
      <c r="C55" s="75" t="s">
        <v>741</v>
      </c>
      <c r="D55" s="75" t="s">
        <v>742</v>
      </c>
      <c r="E55" s="75" t="s">
        <v>324</v>
      </c>
      <c r="F55" s="258" t="s">
        <v>743</v>
      </c>
      <c r="G55" s="75" t="s">
        <v>400</v>
      </c>
      <c r="H55" s="179" t="s">
        <v>744</v>
      </c>
      <c r="I55" s="179" t="s">
        <v>745</v>
      </c>
      <c r="J55" s="96" t="s">
        <v>591</v>
      </c>
      <c r="K55" s="188" t="s">
        <v>636</v>
      </c>
    </row>
    <row r="56" spans="1:11" ht="22.5">
      <c r="A56" s="185">
        <v>10</v>
      </c>
      <c r="B56" s="179" t="s">
        <v>746</v>
      </c>
      <c r="C56" s="191" t="s">
        <v>747</v>
      </c>
      <c r="D56" s="191" t="s">
        <v>748</v>
      </c>
      <c r="E56" s="96" t="s">
        <v>749</v>
      </c>
      <c r="F56" s="261" t="s">
        <v>750</v>
      </c>
      <c r="G56" s="96" t="s">
        <v>751</v>
      </c>
      <c r="H56" s="179" t="s">
        <v>752</v>
      </c>
      <c r="I56" s="179" t="s">
        <v>753</v>
      </c>
      <c r="J56" s="96" t="s">
        <v>754</v>
      </c>
      <c r="K56" s="188" t="s">
        <v>755</v>
      </c>
    </row>
    <row r="57" spans="1:11" ht="14.25">
      <c r="A57" s="185">
        <v>11</v>
      </c>
      <c r="B57" s="96" t="s">
        <v>756</v>
      </c>
      <c r="C57" s="96" t="s">
        <v>369</v>
      </c>
      <c r="D57" s="96" t="s">
        <v>757</v>
      </c>
      <c r="E57" s="96" t="s">
        <v>758</v>
      </c>
      <c r="F57" s="255" t="s">
        <v>759</v>
      </c>
      <c r="G57" s="75" t="s">
        <v>400</v>
      </c>
      <c r="H57" s="96" t="s">
        <v>760</v>
      </c>
      <c r="I57" s="96" t="s">
        <v>687</v>
      </c>
      <c r="J57" s="96" t="s">
        <v>401</v>
      </c>
      <c r="K57" s="188" t="s">
        <v>636</v>
      </c>
    </row>
    <row r="58" spans="1:11" ht="14.25">
      <c r="A58" s="185">
        <v>1</v>
      </c>
      <c r="B58" s="96" t="s">
        <v>761</v>
      </c>
      <c r="C58" s="96" t="s">
        <v>317</v>
      </c>
      <c r="D58" s="96" t="s">
        <v>762</v>
      </c>
      <c r="E58" s="96" t="s">
        <v>758</v>
      </c>
      <c r="F58" s="255" t="s">
        <v>763</v>
      </c>
      <c r="G58" s="75" t="s">
        <v>400</v>
      </c>
      <c r="H58" s="96" t="s">
        <v>764</v>
      </c>
      <c r="I58" s="96" t="s">
        <v>765</v>
      </c>
      <c r="J58" s="96" t="s">
        <v>401</v>
      </c>
      <c r="K58" s="188" t="s">
        <v>636</v>
      </c>
    </row>
    <row r="59" spans="1:11" ht="14.25">
      <c r="A59" s="185">
        <v>2</v>
      </c>
      <c r="B59" s="96" t="s">
        <v>459</v>
      </c>
      <c r="C59" s="96" t="s">
        <v>291</v>
      </c>
      <c r="D59" s="96" t="s">
        <v>766</v>
      </c>
      <c r="E59" s="96" t="s">
        <v>324</v>
      </c>
      <c r="F59" s="255" t="s">
        <v>767</v>
      </c>
      <c r="G59" s="75" t="s">
        <v>400</v>
      </c>
      <c r="H59" s="96" t="s">
        <v>760</v>
      </c>
      <c r="I59" s="96" t="s">
        <v>687</v>
      </c>
      <c r="J59" s="96" t="s">
        <v>401</v>
      </c>
      <c r="K59" s="188" t="s">
        <v>636</v>
      </c>
    </row>
    <row r="60" spans="1:11" ht="22.5">
      <c r="A60" s="185">
        <v>3</v>
      </c>
      <c r="B60" s="96" t="s">
        <v>768</v>
      </c>
      <c r="C60" s="96" t="s">
        <v>292</v>
      </c>
      <c r="D60" s="96" t="s">
        <v>769</v>
      </c>
      <c r="E60" s="96" t="s">
        <v>758</v>
      </c>
      <c r="F60" s="255" t="s">
        <v>770</v>
      </c>
      <c r="G60" s="75" t="s">
        <v>400</v>
      </c>
      <c r="H60" s="179" t="s">
        <v>771</v>
      </c>
      <c r="I60" s="179" t="s">
        <v>772</v>
      </c>
      <c r="J60" s="96" t="s">
        <v>401</v>
      </c>
      <c r="K60" s="188" t="s">
        <v>755</v>
      </c>
    </row>
    <row r="61" spans="1:11" ht="22.5">
      <c r="A61" s="185">
        <v>4</v>
      </c>
      <c r="B61" s="96" t="s">
        <v>773</v>
      </c>
      <c r="C61" s="96" t="s">
        <v>774</v>
      </c>
      <c r="D61" s="96" t="s">
        <v>725</v>
      </c>
      <c r="E61" s="96" t="s">
        <v>775</v>
      </c>
      <c r="F61" s="255" t="s">
        <v>776</v>
      </c>
      <c r="G61" s="96" t="s">
        <v>751</v>
      </c>
      <c r="H61" s="179" t="s">
        <v>777</v>
      </c>
      <c r="I61" s="179" t="s">
        <v>778</v>
      </c>
      <c r="J61" s="96" t="s">
        <v>401</v>
      </c>
      <c r="K61" s="188" t="s">
        <v>565</v>
      </c>
    </row>
    <row r="62" spans="1:11" ht="22.5">
      <c r="A62" s="185">
        <v>5</v>
      </c>
      <c r="B62" s="96" t="s">
        <v>779</v>
      </c>
      <c r="C62" s="75" t="s">
        <v>198</v>
      </c>
      <c r="D62" s="75" t="s">
        <v>594</v>
      </c>
      <c r="E62" s="75" t="s">
        <v>555</v>
      </c>
      <c r="F62" s="258" t="s">
        <v>780</v>
      </c>
      <c r="G62" s="75" t="s">
        <v>400</v>
      </c>
      <c r="H62" s="179" t="s">
        <v>652</v>
      </c>
      <c r="I62" s="179" t="s">
        <v>653</v>
      </c>
      <c r="J62" s="96" t="s">
        <v>401</v>
      </c>
      <c r="K62" s="188" t="s">
        <v>576</v>
      </c>
    </row>
    <row r="63" spans="1:11" ht="22.5">
      <c r="A63" s="185">
        <v>6</v>
      </c>
      <c r="B63" s="75" t="s">
        <v>781</v>
      </c>
      <c r="C63" s="75" t="s">
        <v>782</v>
      </c>
      <c r="D63" s="75" t="s">
        <v>783</v>
      </c>
      <c r="E63" s="75" t="s">
        <v>324</v>
      </c>
      <c r="F63" s="258" t="s">
        <v>784</v>
      </c>
      <c r="G63" s="75" t="s">
        <v>400</v>
      </c>
      <c r="H63" s="179" t="s">
        <v>785</v>
      </c>
      <c r="I63" s="179" t="s">
        <v>786</v>
      </c>
      <c r="J63" s="96" t="s">
        <v>401</v>
      </c>
      <c r="K63" s="188" t="s">
        <v>576</v>
      </c>
    </row>
    <row r="64" spans="1:11" ht="14.25">
      <c r="A64" s="185">
        <v>7</v>
      </c>
      <c r="B64" s="75" t="s">
        <v>787</v>
      </c>
      <c r="C64" s="96" t="s">
        <v>788</v>
      </c>
      <c r="D64" s="96" t="s">
        <v>789</v>
      </c>
      <c r="E64" s="96" t="s">
        <v>171</v>
      </c>
      <c r="F64" s="255" t="s">
        <v>790</v>
      </c>
      <c r="G64" s="75" t="s">
        <v>400</v>
      </c>
      <c r="H64" s="96" t="s">
        <v>791</v>
      </c>
      <c r="I64" s="96" t="s">
        <v>545</v>
      </c>
      <c r="J64" s="96" t="s">
        <v>401</v>
      </c>
      <c r="K64" s="188" t="s">
        <v>792</v>
      </c>
    </row>
    <row r="65" spans="1:11" ht="14.25">
      <c r="A65" s="185">
        <v>8</v>
      </c>
      <c r="B65" s="75" t="s">
        <v>469</v>
      </c>
      <c r="C65" s="96" t="s">
        <v>793</v>
      </c>
      <c r="D65" s="96" t="s">
        <v>794</v>
      </c>
      <c r="E65" s="75" t="s">
        <v>555</v>
      </c>
      <c r="F65" s="255" t="s">
        <v>464</v>
      </c>
      <c r="G65" s="75" t="s">
        <v>400</v>
      </c>
      <c r="H65" s="96" t="s">
        <v>795</v>
      </c>
      <c r="I65" s="96" t="s">
        <v>796</v>
      </c>
      <c r="J65" s="96" t="s">
        <v>401</v>
      </c>
      <c r="K65" s="188" t="s">
        <v>797</v>
      </c>
    </row>
    <row r="66" spans="1:11" ht="14.25">
      <c r="A66" s="185">
        <v>9</v>
      </c>
      <c r="B66" s="75" t="s">
        <v>798</v>
      </c>
      <c r="C66" s="96" t="s">
        <v>799</v>
      </c>
      <c r="D66" s="96" t="s">
        <v>800</v>
      </c>
      <c r="E66" s="96" t="s">
        <v>801</v>
      </c>
      <c r="F66" s="255" t="s">
        <v>465</v>
      </c>
      <c r="G66" s="75" t="s">
        <v>400</v>
      </c>
      <c r="H66" s="96" t="s">
        <v>802</v>
      </c>
      <c r="I66" s="96" t="s">
        <v>545</v>
      </c>
      <c r="J66" s="96" t="s">
        <v>401</v>
      </c>
      <c r="K66" s="188" t="s">
        <v>803</v>
      </c>
    </row>
    <row r="67" spans="1:11" ht="14.25">
      <c r="A67" s="185">
        <v>10</v>
      </c>
      <c r="B67" s="75" t="s">
        <v>460</v>
      </c>
      <c r="C67" s="96" t="s">
        <v>366</v>
      </c>
      <c r="D67" s="96" t="s">
        <v>657</v>
      </c>
      <c r="E67" s="96" t="s">
        <v>324</v>
      </c>
      <c r="F67" s="255" t="s">
        <v>804</v>
      </c>
      <c r="G67" s="75" t="s">
        <v>400</v>
      </c>
      <c r="H67" s="96" t="s">
        <v>557</v>
      </c>
      <c r="I67" s="96" t="s">
        <v>558</v>
      </c>
      <c r="J67" s="96" t="s">
        <v>401</v>
      </c>
      <c r="K67" s="188" t="s">
        <v>529</v>
      </c>
    </row>
    <row r="68" spans="1:11" ht="14.25">
      <c r="A68" s="185">
        <v>11</v>
      </c>
      <c r="B68" s="75" t="s">
        <v>805</v>
      </c>
      <c r="C68" s="96" t="s">
        <v>332</v>
      </c>
      <c r="D68" s="96" t="s">
        <v>806</v>
      </c>
      <c r="E68" s="96" t="s">
        <v>331</v>
      </c>
      <c r="F68" s="255" t="s">
        <v>333</v>
      </c>
      <c r="G68" s="75" t="s">
        <v>400</v>
      </c>
      <c r="H68" s="96" t="s">
        <v>807</v>
      </c>
      <c r="I68" s="96" t="s">
        <v>808</v>
      </c>
      <c r="J68" s="188" t="s">
        <v>529</v>
      </c>
      <c r="K68" s="188" t="s">
        <v>809</v>
      </c>
    </row>
    <row r="69" spans="1:11" ht="22.5">
      <c r="A69" s="185">
        <v>12</v>
      </c>
      <c r="B69" s="75" t="s">
        <v>810</v>
      </c>
      <c r="C69" s="96" t="s">
        <v>326</v>
      </c>
      <c r="D69" s="96" t="s">
        <v>619</v>
      </c>
      <c r="E69" s="96" t="s">
        <v>324</v>
      </c>
      <c r="F69" s="255" t="s">
        <v>811</v>
      </c>
      <c r="G69" s="75" t="s">
        <v>400</v>
      </c>
      <c r="H69" s="179" t="s">
        <v>812</v>
      </c>
      <c r="I69" s="179" t="s">
        <v>813</v>
      </c>
      <c r="J69" s="96" t="s">
        <v>401</v>
      </c>
      <c r="K69" s="188" t="s">
        <v>585</v>
      </c>
    </row>
    <row r="70" spans="1:11" ht="14.25">
      <c r="A70" s="185">
        <v>1</v>
      </c>
      <c r="B70" s="250" t="s">
        <v>814</v>
      </c>
      <c r="C70" s="75" t="s">
        <v>193</v>
      </c>
      <c r="D70" s="75" t="s">
        <v>815</v>
      </c>
      <c r="E70" s="75" t="s">
        <v>171</v>
      </c>
      <c r="F70" s="258" t="s">
        <v>816</v>
      </c>
      <c r="G70" s="75" t="s">
        <v>400</v>
      </c>
      <c r="H70" s="96" t="s">
        <v>817</v>
      </c>
      <c r="I70" s="96" t="s">
        <v>818</v>
      </c>
      <c r="J70" s="96" t="s">
        <v>401</v>
      </c>
      <c r="K70" s="188" t="s">
        <v>529</v>
      </c>
    </row>
    <row r="71" spans="1:11" ht="14.25">
      <c r="A71" s="185">
        <v>2</v>
      </c>
      <c r="B71" s="96" t="s">
        <v>819</v>
      </c>
      <c r="C71" s="96" t="s">
        <v>321</v>
      </c>
      <c r="D71" s="96" t="s">
        <v>820</v>
      </c>
      <c r="E71" s="96" t="s">
        <v>555</v>
      </c>
      <c r="F71" s="255" t="s">
        <v>821</v>
      </c>
      <c r="G71" s="75" t="s">
        <v>400</v>
      </c>
      <c r="H71" s="96" t="s">
        <v>822</v>
      </c>
      <c r="I71" s="96" t="s">
        <v>558</v>
      </c>
      <c r="J71" s="96" t="s">
        <v>401</v>
      </c>
      <c r="K71" s="188" t="s">
        <v>529</v>
      </c>
    </row>
    <row r="72" spans="1:11" ht="14.25">
      <c r="A72" s="185">
        <v>3</v>
      </c>
      <c r="B72" s="96" t="s">
        <v>823</v>
      </c>
      <c r="C72" s="96" t="s">
        <v>321</v>
      </c>
      <c r="D72" s="96" t="s">
        <v>824</v>
      </c>
      <c r="E72" s="96" t="s">
        <v>324</v>
      </c>
      <c r="F72" s="255" t="s">
        <v>825</v>
      </c>
      <c r="G72" s="75" t="s">
        <v>400</v>
      </c>
      <c r="H72" s="96" t="s">
        <v>826</v>
      </c>
      <c r="I72" s="96" t="s">
        <v>827</v>
      </c>
      <c r="J72" s="96" t="s">
        <v>401</v>
      </c>
      <c r="K72" s="188" t="s">
        <v>529</v>
      </c>
    </row>
    <row r="73" spans="1:11" ht="22.5">
      <c r="A73" s="185">
        <v>4</v>
      </c>
      <c r="B73" s="96" t="s">
        <v>828</v>
      </c>
      <c r="C73" s="96" t="s">
        <v>829</v>
      </c>
      <c r="D73" s="96" t="s">
        <v>830</v>
      </c>
      <c r="E73" s="96" t="s">
        <v>555</v>
      </c>
      <c r="F73" s="255" t="s">
        <v>831</v>
      </c>
      <c r="G73" s="75" t="s">
        <v>832</v>
      </c>
      <c r="H73" s="179" t="s">
        <v>833</v>
      </c>
      <c r="I73" s="179" t="s">
        <v>834</v>
      </c>
      <c r="J73" s="96" t="s">
        <v>835</v>
      </c>
      <c r="K73" s="188" t="s">
        <v>529</v>
      </c>
    </row>
    <row r="74" spans="1:11" ht="22.5">
      <c r="A74" s="185">
        <v>5</v>
      </c>
      <c r="B74" s="96" t="s">
        <v>836</v>
      </c>
      <c r="C74" s="96" t="s">
        <v>837</v>
      </c>
      <c r="D74" s="96" t="s">
        <v>830</v>
      </c>
      <c r="E74" s="96" t="s">
        <v>555</v>
      </c>
      <c r="F74" s="255" t="s">
        <v>838</v>
      </c>
      <c r="G74" s="75" t="s">
        <v>832</v>
      </c>
      <c r="H74" s="179" t="s">
        <v>839</v>
      </c>
      <c r="I74" s="179" t="s">
        <v>840</v>
      </c>
      <c r="J74" s="96" t="s">
        <v>835</v>
      </c>
      <c r="K74" s="188" t="s">
        <v>529</v>
      </c>
    </row>
    <row r="75" spans="1:11" ht="14.25">
      <c r="A75" s="185">
        <v>6</v>
      </c>
      <c r="B75" s="96" t="s">
        <v>841</v>
      </c>
      <c r="C75" s="96" t="s">
        <v>842</v>
      </c>
      <c r="D75" s="96" t="s">
        <v>843</v>
      </c>
      <c r="E75" s="96" t="s">
        <v>801</v>
      </c>
      <c r="F75" s="255" t="s">
        <v>844</v>
      </c>
      <c r="G75" s="75" t="s">
        <v>832</v>
      </c>
      <c r="H75" s="179" t="s">
        <v>845</v>
      </c>
      <c r="I75" s="179" t="s">
        <v>662</v>
      </c>
      <c r="J75" s="96" t="s">
        <v>835</v>
      </c>
      <c r="K75" s="188" t="s">
        <v>529</v>
      </c>
    </row>
    <row r="76" spans="1:11" ht="14.25">
      <c r="A76" s="192">
        <v>7</v>
      </c>
      <c r="B76" s="96" t="s">
        <v>846</v>
      </c>
      <c r="C76" s="191" t="s">
        <v>374</v>
      </c>
      <c r="D76" s="96" t="s">
        <v>847</v>
      </c>
      <c r="E76" s="96" t="s">
        <v>848</v>
      </c>
      <c r="F76" s="255" t="s">
        <v>849</v>
      </c>
      <c r="G76" s="75" t="s">
        <v>400</v>
      </c>
      <c r="H76" s="96" t="s">
        <v>850</v>
      </c>
      <c r="I76" s="96" t="s">
        <v>851</v>
      </c>
      <c r="J76" s="96" t="s">
        <v>401</v>
      </c>
      <c r="K76" s="188" t="s">
        <v>529</v>
      </c>
    </row>
    <row r="77" spans="1:11" ht="22.5">
      <c r="A77" s="192">
        <v>8</v>
      </c>
      <c r="B77" s="96" t="s">
        <v>485</v>
      </c>
      <c r="C77" s="191" t="s">
        <v>852</v>
      </c>
      <c r="D77" s="96" t="s">
        <v>853</v>
      </c>
      <c r="E77" s="96" t="s">
        <v>801</v>
      </c>
      <c r="F77" s="255" t="s">
        <v>466</v>
      </c>
      <c r="G77" s="75" t="s">
        <v>400</v>
      </c>
      <c r="H77" s="179" t="s">
        <v>854</v>
      </c>
      <c r="I77" s="179" t="s">
        <v>855</v>
      </c>
      <c r="J77" s="96" t="s">
        <v>401</v>
      </c>
      <c r="K77" s="188" t="s">
        <v>856</v>
      </c>
    </row>
    <row r="78" spans="1:11" ht="14.25">
      <c r="A78" s="192">
        <v>9</v>
      </c>
      <c r="B78" s="96" t="s">
        <v>461</v>
      </c>
      <c r="C78" s="191" t="s">
        <v>857</v>
      </c>
      <c r="D78" s="96" t="s">
        <v>858</v>
      </c>
      <c r="E78" s="96" t="s">
        <v>848</v>
      </c>
      <c r="F78" s="255" t="s">
        <v>859</v>
      </c>
      <c r="G78" s="75" t="s">
        <v>400</v>
      </c>
      <c r="H78" s="179" t="s">
        <v>860</v>
      </c>
      <c r="I78" s="179" t="s">
        <v>861</v>
      </c>
      <c r="J78" s="96" t="s">
        <v>401</v>
      </c>
      <c r="K78" s="188" t="s">
        <v>529</v>
      </c>
    </row>
    <row r="79" spans="1:11" ht="14.25">
      <c r="A79" s="185">
        <v>10</v>
      </c>
      <c r="B79" s="96" t="s">
        <v>468</v>
      </c>
      <c r="C79" s="96" t="s">
        <v>862</v>
      </c>
      <c r="D79" s="96" t="s">
        <v>863</v>
      </c>
      <c r="E79" s="96" t="s">
        <v>555</v>
      </c>
      <c r="F79" s="255" t="s">
        <v>467</v>
      </c>
      <c r="G79" s="75" t="s">
        <v>864</v>
      </c>
      <c r="H79" s="179" t="s">
        <v>865</v>
      </c>
      <c r="I79" s="179" t="s">
        <v>866</v>
      </c>
      <c r="J79" s="96" t="s">
        <v>835</v>
      </c>
      <c r="K79" s="188" t="s">
        <v>529</v>
      </c>
    </row>
    <row r="80" spans="1:11" ht="14.25">
      <c r="A80" s="185">
        <v>11</v>
      </c>
      <c r="B80" s="96" t="s">
        <v>867</v>
      </c>
      <c r="C80" s="96" t="s">
        <v>868</v>
      </c>
      <c r="D80" s="96" t="s">
        <v>869</v>
      </c>
      <c r="E80" s="96" t="s">
        <v>171</v>
      </c>
      <c r="F80" s="255" t="s">
        <v>870</v>
      </c>
      <c r="G80" s="75" t="s">
        <v>627</v>
      </c>
      <c r="H80" s="179" t="s">
        <v>661</v>
      </c>
      <c r="I80" s="179" t="s">
        <v>871</v>
      </c>
      <c r="J80" s="96" t="s">
        <v>835</v>
      </c>
      <c r="K80" s="188" t="s">
        <v>529</v>
      </c>
    </row>
    <row r="81" spans="1:13" ht="14.25">
      <c r="A81" s="185">
        <v>1</v>
      </c>
      <c r="B81" s="252" t="s">
        <v>872</v>
      </c>
      <c r="C81" s="96" t="s">
        <v>873</v>
      </c>
      <c r="D81" s="96" t="s">
        <v>637</v>
      </c>
      <c r="E81" s="96" t="s">
        <v>638</v>
      </c>
      <c r="F81" s="255" t="s">
        <v>874</v>
      </c>
      <c r="G81" s="75" t="s">
        <v>400</v>
      </c>
      <c r="H81" s="96" t="s">
        <v>640</v>
      </c>
      <c r="I81" s="96" t="s">
        <v>875</v>
      </c>
      <c r="J81" s="188" t="s">
        <v>636</v>
      </c>
      <c r="K81" s="188" t="s">
        <v>642</v>
      </c>
    </row>
    <row r="82" spans="1:13" ht="14.25">
      <c r="A82" s="185">
        <v>2</v>
      </c>
      <c r="B82" s="186" t="s">
        <v>472</v>
      </c>
      <c r="C82" s="96" t="s">
        <v>196</v>
      </c>
      <c r="D82" s="96" t="s">
        <v>637</v>
      </c>
      <c r="E82" s="96" t="s">
        <v>638</v>
      </c>
      <c r="F82" s="255" t="s">
        <v>876</v>
      </c>
      <c r="G82" s="75" t="s">
        <v>400</v>
      </c>
      <c r="H82" s="96" t="s">
        <v>640</v>
      </c>
      <c r="I82" s="96" t="s">
        <v>877</v>
      </c>
      <c r="J82" s="188" t="s">
        <v>636</v>
      </c>
      <c r="K82" s="188" t="s">
        <v>642</v>
      </c>
    </row>
    <row r="83" spans="1:13" ht="14.25">
      <c r="A83" s="185">
        <v>3</v>
      </c>
      <c r="B83" s="186" t="s">
        <v>473</v>
      </c>
      <c r="C83" s="96" t="s">
        <v>382</v>
      </c>
      <c r="D83" s="96" t="s">
        <v>637</v>
      </c>
      <c r="E83" s="96" t="s">
        <v>638</v>
      </c>
      <c r="F83" s="255" t="s">
        <v>878</v>
      </c>
      <c r="G83" s="75" t="s">
        <v>400</v>
      </c>
      <c r="H83" s="96" t="s">
        <v>640</v>
      </c>
      <c r="I83" s="96" t="s">
        <v>879</v>
      </c>
      <c r="J83" s="188" t="s">
        <v>636</v>
      </c>
      <c r="K83" s="188" t="s">
        <v>642</v>
      </c>
    </row>
    <row r="84" spans="1:13" ht="14.25">
      <c r="A84" s="185">
        <v>4</v>
      </c>
      <c r="B84" s="186" t="s">
        <v>474</v>
      </c>
      <c r="C84" s="96" t="s">
        <v>293</v>
      </c>
      <c r="D84" s="96" t="s">
        <v>637</v>
      </c>
      <c r="E84" s="96" t="s">
        <v>638</v>
      </c>
      <c r="F84" s="255" t="s">
        <v>880</v>
      </c>
      <c r="G84" s="75" t="s">
        <v>400</v>
      </c>
      <c r="H84" s="96" t="s">
        <v>640</v>
      </c>
      <c r="I84" s="96" t="s">
        <v>881</v>
      </c>
      <c r="J84" s="188" t="s">
        <v>636</v>
      </c>
      <c r="K84" s="188" t="s">
        <v>642</v>
      </c>
    </row>
    <row r="85" spans="1:13" ht="14.25">
      <c r="A85" s="185">
        <v>5</v>
      </c>
      <c r="B85" s="186" t="s">
        <v>497</v>
      </c>
      <c r="C85" s="96" t="s">
        <v>389</v>
      </c>
      <c r="D85" s="96" t="s">
        <v>882</v>
      </c>
      <c r="E85" s="96" t="s">
        <v>883</v>
      </c>
      <c r="F85" s="255" t="s">
        <v>390</v>
      </c>
      <c r="G85" s="75" t="s">
        <v>400</v>
      </c>
      <c r="H85" s="96" t="s">
        <v>884</v>
      </c>
      <c r="I85" s="96" t="s">
        <v>885</v>
      </c>
      <c r="J85" s="188" t="s">
        <v>636</v>
      </c>
      <c r="K85" s="188" t="s">
        <v>886</v>
      </c>
    </row>
    <row r="86" spans="1:13" ht="14.25">
      <c r="A86" s="185">
        <v>6</v>
      </c>
      <c r="B86" s="96" t="s">
        <v>496</v>
      </c>
      <c r="C86" s="96" t="s">
        <v>386</v>
      </c>
      <c r="D86" s="96" t="s">
        <v>887</v>
      </c>
      <c r="E86" s="96" t="s">
        <v>632</v>
      </c>
      <c r="F86" s="255" t="s">
        <v>387</v>
      </c>
      <c r="G86" s="75" t="s">
        <v>400</v>
      </c>
      <c r="H86" s="96" t="s">
        <v>888</v>
      </c>
      <c r="I86" s="96" t="s">
        <v>889</v>
      </c>
      <c r="J86" s="188" t="s">
        <v>636</v>
      </c>
      <c r="K86" s="188" t="s">
        <v>642</v>
      </c>
    </row>
    <row r="87" spans="1:13" ht="14.25">
      <c r="A87" s="185">
        <v>7</v>
      </c>
      <c r="B87" s="105" t="s">
        <v>301</v>
      </c>
      <c r="C87" s="105" t="s">
        <v>288</v>
      </c>
      <c r="D87" s="105" t="s">
        <v>890</v>
      </c>
      <c r="E87" s="105" t="s">
        <v>171</v>
      </c>
      <c r="F87" s="256" t="s">
        <v>891</v>
      </c>
      <c r="G87" s="75" t="s">
        <v>400</v>
      </c>
      <c r="H87" s="96" t="s">
        <v>892</v>
      </c>
      <c r="I87" s="96" t="s">
        <v>893</v>
      </c>
      <c r="J87" s="96" t="s">
        <v>401</v>
      </c>
      <c r="K87" s="188" t="s">
        <v>636</v>
      </c>
    </row>
    <row r="88" spans="1:13" ht="14.25">
      <c r="A88" s="185">
        <v>8</v>
      </c>
      <c r="B88" s="105" t="s">
        <v>302</v>
      </c>
      <c r="C88" s="105" t="s">
        <v>288</v>
      </c>
      <c r="D88" s="105" t="s">
        <v>890</v>
      </c>
      <c r="E88" s="105" t="s">
        <v>171</v>
      </c>
      <c r="F88" s="256" t="s">
        <v>894</v>
      </c>
      <c r="G88" s="75" t="s">
        <v>400</v>
      </c>
      <c r="H88" s="96" t="s">
        <v>892</v>
      </c>
      <c r="I88" s="96" t="s">
        <v>893</v>
      </c>
      <c r="J88" s="96" t="s">
        <v>401</v>
      </c>
      <c r="K88" s="188" t="s">
        <v>636</v>
      </c>
    </row>
    <row r="89" spans="1:13" ht="14.25">
      <c r="A89" s="185">
        <v>9</v>
      </c>
      <c r="B89" s="75" t="s">
        <v>303</v>
      </c>
      <c r="C89" s="75" t="s">
        <v>289</v>
      </c>
      <c r="D89" s="75" t="s">
        <v>895</v>
      </c>
      <c r="E89" s="75" t="s">
        <v>172</v>
      </c>
      <c r="F89" s="258" t="s">
        <v>896</v>
      </c>
      <c r="G89" s="75" t="s">
        <v>400</v>
      </c>
      <c r="H89" s="104" t="s">
        <v>540</v>
      </c>
      <c r="I89" s="104" t="s">
        <v>897</v>
      </c>
      <c r="J89" s="96" t="s">
        <v>401</v>
      </c>
      <c r="K89" s="188" t="s">
        <v>529</v>
      </c>
    </row>
    <row r="90" spans="1:13" ht="14.25">
      <c r="A90" s="185">
        <v>10</v>
      </c>
      <c r="B90" s="75" t="s">
        <v>304</v>
      </c>
      <c r="C90" s="75" t="s">
        <v>290</v>
      </c>
      <c r="D90" s="75" t="s">
        <v>898</v>
      </c>
      <c r="E90" s="75" t="s">
        <v>171</v>
      </c>
      <c r="F90" s="258" t="s">
        <v>899</v>
      </c>
      <c r="G90" s="75" t="s">
        <v>400</v>
      </c>
      <c r="H90" s="96" t="s">
        <v>900</v>
      </c>
      <c r="I90" s="96" t="s">
        <v>901</v>
      </c>
      <c r="J90" s="96" t="s">
        <v>401</v>
      </c>
      <c r="K90" s="188" t="s">
        <v>529</v>
      </c>
    </row>
    <row r="91" spans="1:13" ht="22.5">
      <c r="A91" s="185">
        <v>11</v>
      </c>
      <c r="B91" s="75" t="s">
        <v>902</v>
      </c>
      <c r="C91" s="75" t="s">
        <v>903</v>
      </c>
      <c r="D91" s="75" t="s">
        <v>904</v>
      </c>
      <c r="E91" s="75" t="s">
        <v>905</v>
      </c>
      <c r="F91" s="258" t="s">
        <v>906</v>
      </c>
      <c r="G91" s="75" t="s">
        <v>907</v>
      </c>
      <c r="H91" s="179" t="s">
        <v>908</v>
      </c>
      <c r="I91" s="179" t="s">
        <v>909</v>
      </c>
      <c r="J91" s="96" t="s">
        <v>401</v>
      </c>
      <c r="K91" s="188" t="s">
        <v>529</v>
      </c>
    </row>
    <row r="92" spans="1:13" ht="14.25">
      <c r="A92" s="185">
        <v>1</v>
      </c>
      <c r="B92" s="106" t="s">
        <v>911</v>
      </c>
      <c r="C92" s="190" t="s">
        <v>912</v>
      </c>
      <c r="D92" s="106" t="s">
        <v>913</v>
      </c>
      <c r="E92" s="106" t="s">
        <v>172</v>
      </c>
      <c r="F92" s="259" t="s">
        <v>914</v>
      </c>
      <c r="G92" s="75" t="s">
        <v>627</v>
      </c>
      <c r="H92" s="96" t="s">
        <v>915</v>
      </c>
      <c r="I92" s="96" t="s">
        <v>916</v>
      </c>
      <c r="J92" s="96" t="s">
        <v>591</v>
      </c>
      <c r="K92" s="188" t="s">
        <v>917</v>
      </c>
      <c r="M92" s="241" t="s">
        <v>1733</v>
      </c>
    </row>
    <row r="93" spans="1:13" ht="14.25">
      <c r="A93" s="185">
        <v>2</v>
      </c>
      <c r="B93" s="96" t="s">
        <v>918</v>
      </c>
      <c r="C93" s="96" t="s">
        <v>919</v>
      </c>
      <c r="D93" s="96" t="s">
        <v>920</v>
      </c>
      <c r="E93" s="96" t="s">
        <v>171</v>
      </c>
      <c r="F93" s="255" t="s">
        <v>921</v>
      </c>
      <c r="G93" s="75" t="s">
        <v>627</v>
      </c>
      <c r="H93" s="96" t="s">
        <v>922</v>
      </c>
      <c r="I93" s="96" t="s">
        <v>923</v>
      </c>
      <c r="J93" s="96" t="s">
        <v>591</v>
      </c>
      <c r="K93" s="188" t="s">
        <v>924</v>
      </c>
    </row>
    <row r="94" spans="1:13" ht="14.25">
      <c r="A94" s="185">
        <v>3</v>
      </c>
      <c r="B94" s="96" t="s">
        <v>925</v>
      </c>
      <c r="C94" s="96" t="s">
        <v>926</v>
      </c>
      <c r="D94" s="96" t="s">
        <v>920</v>
      </c>
      <c r="E94" s="96" t="s">
        <v>171</v>
      </c>
      <c r="F94" s="255" t="s">
        <v>927</v>
      </c>
      <c r="G94" s="75" t="s">
        <v>627</v>
      </c>
      <c r="H94" s="96" t="s">
        <v>928</v>
      </c>
      <c r="I94" s="96" t="s">
        <v>923</v>
      </c>
      <c r="J94" s="96" t="s">
        <v>591</v>
      </c>
      <c r="K94" s="188" t="s">
        <v>929</v>
      </c>
    </row>
    <row r="95" spans="1:13" ht="14.25">
      <c r="A95" s="185">
        <v>4</v>
      </c>
      <c r="B95" s="96" t="s">
        <v>930</v>
      </c>
      <c r="C95" s="96" t="s">
        <v>926</v>
      </c>
      <c r="D95" s="96" t="s">
        <v>920</v>
      </c>
      <c r="E95" s="96" t="s">
        <v>171</v>
      </c>
      <c r="F95" s="255" t="s">
        <v>931</v>
      </c>
      <c r="G95" s="75" t="s">
        <v>627</v>
      </c>
      <c r="H95" s="96" t="s">
        <v>928</v>
      </c>
      <c r="I95" s="96" t="s">
        <v>923</v>
      </c>
      <c r="J95" s="96" t="s">
        <v>591</v>
      </c>
      <c r="K95" s="188" t="s">
        <v>932</v>
      </c>
    </row>
    <row r="96" spans="1:13" ht="14.25">
      <c r="A96" s="185">
        <v>5</v>
      </c>
      <c r="B96" s="96" t="s">
        <v>933</v>
      </c>
      <c r="C96" s="96" t="s">
        <v>926</v>
      </c>
      <c r="D96" s="96" t="s">
        <v>920</v>
      </c>
      <c r="E96" s="96" t="s">
        <v>171</v>
      </c>
      <c r="F96" s="255" t="s">
        <v>934</v>
      </c>
      <c r="G96" s="75" t="s">
        <v>627</v>
      </c>
      <c r="H96" s="179" t="s">
        <v>935</v>
      </c>
      <c r="I96" s="179" t="s">
        <v>923</v>
      </c>
      <c r="J96" s="96" t="s">
        <v>591</v>
      </c>
      <c r="K96" s="96" t="s">
        <v>936</v>
      </c>
    </row>
    <row r="97" spans="1:13" ht="14.25">
      <c r="A97" s="185">
        <v>6</v>
      </c>
      <c r="B97" s="186" t="s">
        <v>937</v>
      </c>
      <c r="C97" s="96" t="s">
        <v>926</v>
      </c>
      <c r="D97" s="96" t="s">
        <v>920</v>
      </c>
      <c r="E97" s="96" t="s">
        <v>171</v>
      </c>
      <c r="F97" s="255" t="s">
        <v>938</v>
      </c>
      <c r="G97" s="75" t="s">
        <v>627</v>
      </c>
      <c r="H97" s="96" t="s">
        <v>935</v>
      </c>
      <c r="I97" s="96" t="s">
        <v>923</v>
      </c>
      <c r="J97" s="96" t="s">
        <v>591</v>
      </c>
      <c r="K97" s="188" t="s">
        <v>939</v>
      </c>
    </row>
    <row r="98" spans="1:13" ht="14.25">
      <c r="A98" s="185">
        <v>7</v>
      </c>
      <c r="B98" s="96" t="s">
        <v>940</v>
      </c>
      <c r="C98" s="96" t="s">
        <v>941</v>
      </c>
      <c r="D98" s="96" t="s">
        <v>920</v>
      </c>
      <c r="E98" s="96" t="s">
        <v>171</v>
      </c>
      <c r="F98" s="255" t="s">
        <v>942</v>
      </c>
      <c r="G98" s="75" t="s">
        <v>627</v>
      </c>
      <c r="H98" s="96" t="s">
        <v>928</v>
      </c>
      <c r="I98" s="96" t="s">
        <v>923</v>
      </c>
      <c r="J98" s="96" t="s">
        <v>591</v>
      </c>
      <c r="K98" s="188" t="s">
        <v>943</v>
      </c>
    </row>
    <row r="99" spans="1:13" ht="14.25">
      <c r="A99" s="185">
        <v>8</v>
      </c>
      <c r="B99" s="96" t="s">
        <v>944</v>
      </c>
      <c r="C99" s="96" t="s">
        <v>945</v>
      </c>
      <c r="D99" s="96" t="s">
        <v>946</v>
      </c>
      <c r="E99" s="96" t="s">
        <v>171</v>
      </c>
      <c r="F99" s="255" t="s">
        <v>947</v>
      </c>
      <c r="G99" s="75" t="s">
        <v>627</v>
      </c>
      <c r="H99" s="96" t="s">
        <v>532</v>
      </c>
      <c r="I99" s="96" t="s">
        <v>533</v>
      </c>
      <c r="J99" s="96" t="s">
        <v>591</v>
      </c>
      <c r="K99" s="188" t="s">
        <v>948</v>
      </c>
    </row>
    <row r="100" spans="1:13" ht="14.25">
      <c r="A100" s="185">
        <v>9</v>
      </c>
      <c r="B100" s="96" t="s">
        <v>949</v>
      </c>
      <c r="C100" s="96" t="s">
        <v>945</v>
      </c>
      <c r="D100" s="96" t="s">
        <v>946</v>
      </c>
      <c r="E100" s="96" t="s">
        <v>171</v>
      </c>
      <c r="F100" s="255" t="s">
        <v>950</v>
      </c>
      <c r="G100" s="75" t="s">
        <v>627</v>
      </c>
      <c r="H100" s="96" t="s">
        <v>532</v>
      </c>
      <c r="I100" s="96" t="s">
        <v>533</v>
      </c>
      <c r="J100" s="96" t="s">
        <v>591</v>
      </c>
      <c r="K100" s="188" t="s">
        <v>951</v>
      </c>
    </row>
    <row r="101" spans="1:13" ht="14.25">
      <c r="A101" s="185">
        <v>10</v>
      </c>
      <c r="B101" s="96" t="s">
        <v>952</v>
      </c>
      <c r="C101" s="96" t="s">
        <v>945</v>
      </c>
      <c r="D101" s="96" t="s">
        <v>946</v>
      </c>
      <c r="E101" s="96" t="s">
        <v>171</v>
      </c>
      <c r="F101" s="255" t="s">
        <v>953</v>
      </c>
      <c r="G101" s="75" t="s">
        <v>627</v>
      </c>
      <c r="H101" s="96" t="s">
        <v>954</v>
      </c>
      <c r="I101" s="96" t="s">
        <v>533</v>
      </c>
      <c r="J101" s="96" t="s">
        <v>591</v>
      </c>
      <c r="K101" s="188" t="s">
        <v>955</v>
      </c>
    </row>
    <row r="102" spans="1:13" ht="14.25">
      <c r="A102" s="185">
        <v>11</v>
      </c>
      <c r="B102" s="96" t="s">
        <v>956</v>
      </c>
      <c r="C102" s="96" t="s">
        <v>945</v>
      </c>
      <c r="D102" s="96" t="s">
        <v>946</v>
      </c>
      <c r="E102" s="96" t="s">
        <v>171</v>
      </c>
      <c r="F102" s="255" t="s">
        <v>957</v>
      </c>
      <c r="G102" s="75" t="s">
        <v>627</v>
      </c>
      <c r="H102" s="96" t="s">
        <v>532</v>
      </c>
      <c r="I102" s="96" t="s">
        <v>533</v>
      </c>
      <c r="J102" s="96" t="s">
        <v>591</v>
      </c>
      <c r="K102" s="188" t="s">
        <v>958</v>
      </c>
    </row>
    <row r="103" spans="1:13" ht="14.25">
      <c r="A103" s="185">
        <v>12</v>
      </c>
      <c r="B103" s="96" t="s">
        <v>959</v>
      </c>
      <c r="C103" s="96" t="s">
        <v>960</v>
      </c>
      <c r="D103" s="96" t="s">
        <v>946</v>
      </c>
      <c r="E103" s="96" t="s">
        <v>171</v>
      </c>
      <c r="F103" s="255" t="s">
        <v>961</v>
      </c>
      <c r="G103" s="75" t="s">
        <v>627</v>
      </c>
      <c r="H103" s="96" t="s">
        <v>532</v>
      </c>
      <c r="I103" s="96" t="s">
        <v>533</v>
      </c>
      <c r="J103" s="96" t="s">
        <v>591</v>
      </c>
      <c r="K103" s="188" t="s">
        <v>962</v>
      </c>
    </row>
    <row r="104" spans="1:13" ht="14.25">
      <c r="A104" s="185">
        <v>1</v>
      </c>
      <c r="B104" s="96" t="s">
        <v>504</v>
      </c>
      <c r="C104" s="96" t="s">
        <v>968</v>
      </c>
      <c r="D104" s="96" t="s">
        <v>969</v>
      </c>
      <c r="E104" s="96" t="s">
        <v>970</v>
      </c>
      <c r="F104" s="255" t="s">
        <v>971</v>
      </c>
      <c r="G104" s="75" t="s">
        <v>972</v>
      </c>
      <c r="H104" s="96" t="s">
        <v>973</v>
      </c>
      <c r="I104" s="96" t="s">
        <v>974</v>
      </c>
      <c r="J104" s="96" t="s">
        <v>975</v>
      </c>
      <c r="K104" s="96" t="s">
        <v>975</v>
      </c>
    </row>
    <row r="105" spans="1:13" ht="22.5">
      <c r="A105" s="185">
        <f>IF(B105="","",COUNTA($B$7:$B105))</f>
        <v>99</v>
      </c>
      <c r="B105" s="252" t="s">
        <v>1545</v>
      </c>
      <c r="C105" s="97" t="s">
        <v>1546</v>
      </c>
      <c r="D105" s="96" t="s">
        <v>1547</v>
      </c>
      <c r="E105" s="96" t="s">
        <v>1548</v>
      </c>
      <c r="F105" s="255" t="s">
        <v>1549</v>
      </c>
      <c r="G105" s="75" t="s">
        <v>1550</v>
      </c>
      <c r="H105" s="228" t="s">
        <v>1551</v>
      </c>
      <c r="I105" s="179" t="s">
        <v>1552</v>
      </c>
      <c r="J105" s="183" t="s">
        <v>1553</v>
      </c>
      <c r="K105" s="183" t="s">
        <v>1553</v>
      </c>
      <c r="M105" s="176" t="s">
        <v>1732</v>
      </c>
    </row>
    <row r="106" spans="1:13" ht="14.25">
      <c r="A106" s="185">
        <f>IF(B106="","",COUNTA($B$7:$B106))</f>
        <v>100</v>
      </c>
      <c r="B106" s="186" t="s">
        <v>1554</v>
      </c>
      <c r="C106" s="97" t="s">
        <v>1555</v>
      </c>
      <c r="D106" s="96" t="s">
        <v>1556</v>
      </c>
      <c r="E106" s="96" t="s">
        <v>1557</v>
      </c>
      <c r="F106" s="255" t="s">
        <v>1558</v>
      </c>
      <c r="G106" s="75" t="s">
        <v>1559</v>
      </c>
      <c r="H106" s="96" t="s">
        <v>1560</v>
      </c>
      <c r="I106" s="96" t="s">
        <v>1561</v>
      </c>
      <c r="J106" s="183" t="s">
        <v>1553</v>
      </c>
      <c r="K106" s="183" t="s">
        <v>1553</v>
      </c>
      <c r="L106" s="176"/>
    </row>
    <row r="107" spans="1:13" ht="22.5">
      <c r="A107" s="185">
        <f>IF(B107="","",COUNTA($B$7:$B107))</f>
        <v>101</v>
      </c>
      <c r="B107" s="186" t="s">
        <v>1562</v>
      </c>
      <c r="C107" s="96" t="s">
        <v>1563</v>
      </c>
      <c r="D107" s="96" t="s">
        <v>1564</v>
      </c>
      <c r="E107" s="96" t="s">
        <v>1548</v>
      </c>
      <c r="F107" s="255" t="s">
        <v>1565</v>
      </c>
      <c r="G107" s="75" t="s">
        <v>1566</v>
      </c>
      <c r="H107" s="228" t="s">
        <v>1551</v>
      </c>
      <c r="I107" s="179" t="s">
        <v>1567</v>
      </c>
      <c r="J107" s="183" t="s">
        <v>1568</v>
      </c>
      <c r="K107" s="183" t="s">
        <v>1553</v>
      </c>
      <c r="L107" s="176"/>
    </row>
    <row r="108" spans="1:13" ht="22.5">
      <c r="A108" s="185">
        <f>IF(B108="","",COUNTA($B$7:$B108))</f>
        <v>102</v>
      </c>
      <c r="B108" s="186" t="s">
        <v>1569</v>
      </c>
      <c r="C108" s="97" t="s">
        <v>1570</v>
      </c>
      <c r="D108" s="96" t="s">
        <v>1571</v>
      </c>
      <c r="E108" s="96" t="s">
        <v>1572</v>
      </c>
      <c r="F108" s="255" t="s">
        <v>1573</v>
      </c>
      <c r="G108" s="75" t="s">
        <v>1566</v>
      </c>
      <c r="H108" s="96" t="s">
        <v>1574</v>
      </c>
      <c r="I108" s="179" t="s">
        <v>1575</v>
      </c>
      <c r="J108" s="183" t="s">
        <v>1568</v>
      </c>
      <c r="K108" s="183" t="s">
        <v>1553</v>
      </c>
      <c r="L108" s="176"/>
    </row>
    <row r="109" spans="1:13" ht="22.5">
      <c r="A109" s="185">
        <f>IF(B109="","",COUNTA($B$7:$B109))</f>
        <v>103</v>
      </c>
      <c r="B109" s="186" t="s">
        <v>1576</v>
      </c>
      <c r="C109" s="97" t="s">
        <v>1577</v>
      </c>
      <c r="D109" s="96" t="s">
        <v>1578</v>
      </c>
      <c r="E109" s="96" t="s">
        <v>1548</v>
      </c>
      <c r="F109" s="255" t="s">
        <v>1579</v>
      </c>
      <c r="G109" s="75" t="s">
        <v>1566</v>
      </c>
      <c r="H109" s="96" t="s">
        <v>1574</v>
      </c>
      <c r="I109" s="179" t="s">
        <v>1580</v>
      </c>
      <c r="J109" s="183" t="s">
        <v>1553</v>
      </c>
      <c r="K109" s="183" t="s">
        <v>1553</v>
      </c>
      <c r="L109" s="176"/>
    </row>
    <row r="110" spans="1:13" ht="22.5">
      <c r="A110" s="185">
        <f>IF(B110="","",COUNTA($B$7:$B110))</f>
        <v>104</v>
      </c>
      <c r="B110" s="96" t="s">
        <v>1581</v>
      </c>
      <c r="C110" s="97" t="s">
        <v>1582</v>
      </c>
      <c r="D110" s="96" t="s">
        <v>1583</v>
      </c>
      <c r="E110" s="96" t="s">
        <v>1584</v>
      </c>
      <c r="F110" s="255" t="s">
        <v>1585</v>
      </c>
      <c r="G110" s="75" t="s">
        <v>1566</v>
      </c>
      <c r="H110" s="228" t="s">
        <v>1551</v>
      </c>
      <c r="I110" s="179" t="s">
        <v>1586</v>
      </c>
      <c r="J110" s="183" t="s">
        <v>1568</v>
      </c>
      <c r="K110" s="183" t="s">
        <v>1553</v>
      </c>
      <c r="L110" s="176"/>
    </row>
    <row r="111" spans="1:13" ht="22.5">
      <c r="A111" s="185">
        <f>IF(B111="","",COUNTA($B$7:$B111))</f>
        <v>105</v>
      </c>
      <c r="B111" s="105" t="s">
        <v>1587</v>
      </c>
      <c r="C111" s="229" t="s">
        <v>1588</v>
      </c>
      <c r="D111" s="96" t="s">
        <v>1556</v>
      </c>
      <c r="E111" s="96" t="s">
        <v>1556</v>
      </c>
      <c r="F111" s="256" t="s">
        <v>1589</v>
      </c>
      <c r="G111" s="75" t="s">
        <v>1550</v>
      </c>
      <c r="H111" s="96" t="s">
        <v>1590</v>
      </c>
      <c r="I111" s="179" t="s">
        <v>1591</v>
      </c>
      <c r="J111" s="183" t="s">
        <v>1553</v>
      </c>
      <c r="K111" s="183" t="s">
        <v>1553</v>
      </c>
      <c r="L111" s="176"/>
    </row>
    <row r="112" spans="1:13" ht="22.5">
      <c r="A112" s="185">
        <f>IF(B112="","",COUNTA($B$7:$B112))</f>
        <v>106</v>
      </c>
      <c r="B112" s="105" t="s">
        <v>1592</v>
      </c>
      <c r="C112" s="229" t="s">
        <v>1593</v>
      </c>
      <c r="D112" s="105" t="s">
        <v>1594</v>
      </c>
      <c r="E112" s="229" t="s">
        <v>1595</v>
      </c>
      <c r="F112" s="256" t="s">
        <v>1596</v>
      </c>
      <c r="G112" s="75" t="s">
        <v>1566</v>
      </c>
      <c r="H112" s="228" t="s">
        <v>1551</v>
      </c>
      <c r="I112" s="179" t="s">
        <v>1597</v>
      </c>
      <c r="J112" s="183" t="s">
        <v>1553</v>
      </c>
      <c r="K112" s="183" t="s">
        <v>1553</v>
      </c>
      <c r="L112" s="176"/>
    </row>
    <row r="113" spans="1:12" ht="22.5">
      <c r="A113" s="185">
        <f>IF(B113="","",COUNTA($B$7:$B113))</f>
        <v>107</v>
      </c>
      <c r="B113" s="75" t="s">
        <v>1598</v>
      </c>
      <c r="C113" s="76" t="s">
        <v>1599</v>
      </c>
      <c r="D113" s="75" t="s">
        <v>1600</v>
      </c>
      <c r="E113" s="76" t="s">
        <v>1557</v>
      </c>
      <c r="F113" s="258" t="s">
        <v>1601</v>
      </c>
      <c r="G113" s="75" t="s">
        <v>1566</v>
      </c>
      <c r="H113" s="228" t="s">
        <v>1551</v>
      </c>
      <c r="I113" s="230" t="s">
        <v>1602</v>
      </c>
      <c r="J113" s="97" t="s">
        <v>1603</v>
      </c>
      <c r="K113" s="183" t="s">
        <v>1604</v>
      </c>
      <c r="L113" s="176"/>
    </row>
    <row r="114" spans="1:12" ht="22.5">
      <c r="A114" s="185">
        <f>IF(B114="","",COUNTA($B$7:$B114))</f>
        <v>108</v>
      </c>
      <c r="B114" s="75" t="s">
        <v>1605</v>
      </c>
      <c r="C114" s="76" t="s">
        <v>1606</v>
      </c>
      <c r="D114" s="75" t="s">
        <v>1607</v>
      </c>
      <c r="E114" s="76" t="s">
        <v>1608</v>
      </c>
      <c r="F114" s="194" t="s">
        <v>1609</v>
      </c>
      <c r="G114" s="75" t="s">
        <v>1550</v>
      </c>
      <c r="H114" s="231" t="s">
        <v>1610</v>
      </c>
      <c r="I114" s="179" t="s">
        <v>1611</v>
      </c>
      <c r="J114" s="183" t="s">
        <v>1553</v>
      </c>
      <c r="K114" s="183" t="s">
        <v>1553</v>
      </c>
      <c r="L114" s="176"/>
    </row>
    <row r="115" spans="1:12" ht="22.5">
      <c r="A115" s="185">
        <f>IF(B115="","",COUNTA($B$7:$B115))</f>
        <v>109</v>
      </c>
      <c r="B115" s="75" t="s">
        <v>1612</v>
      </c>
      <c r="C115" s="76" t="s">
        <v>1613</v>
      </c>
      <c r="D115" s="75" t="s">
        <v>1614</v>
      </c>
      <c r="E115" s="96" t="s">
        <v>1615</v>
      </c>
      <c r="F115" s="258" t="s">
        <v>1616</v>
      </c>
      <c r="G115" s="75" t="s">
        <v>1617</v>
      </c>
      <c r="H115" s="96" t="s">
        <v>1618</v>
      </c>
      <c r="I115" s="179" t="s">
        <v>1619</v>
      </c>
      <c r="J115" s="183" t="s">
        <v>1553</v>
      </c>
      <c r="K115" s="183" t="s">
        <v>1553</v>
      </c>
      <c r="L115" s="176"/>
    </row>
    <row r="116" spans="1:12" ht="22.5">
      <c r="A116" s="185">
        <f>IF(B116="","",COUNTA($B$7:$B116))</f>
        <v>110</v>
      </c>
      <c r="B116" s="75" t="s">
        <v>1767</v>
      </c>
      <c r="C116" s="76" t="s">
        <v>1620</v>
      </c>
      <c r="D116" s="75" t="s">
        <v>1621</v>
      </c>
      <c r="E116" s="96" t="s">
        <v>1622</v>
      </c>
      <c r="F116" s="258" t="s">
        <v>1623</v>
      </c>
      <c r="G116" s="75" t="s">
        <v>1566</v>
      </c>
      <c r="H116" s="228" t="s">
        <v>1551</v>
      </c>
      <c r="I116" s="179" t="s">
        <v>1624</v>
      </c>
      <c r="J116" s="183" t="s">
        <v>1625</v>
      </c>
      <c r="K116" s="183" t="s">
        <v>1553</v>
      </c>
      <c r="L116" s="176"/>
    </row>
    <row r="117" spans="1:12" ht="33.75">
      <c r="A117" s="185">
        <f>IF(B117="","",COUNTA($B$7:$B117))</f>
        <v>111</v>
      </c>
      <c r="B117" s="75" t="s">
        <v>1626</v>
      </c>
      <c r="C117" s="76" t="s">
        <v>1563</v>
      </c>
      <c r="D117" s="75" t="s">
        <v>1627</v>
      </c>
      <c r="E117" s="96" t="s">
        <v>1628</v>
      </c>
      <c r="F117" s="258" t="s">
        <v>1629</v>
      </c>
      <c r="G117" s="75" t="s">
        <v>1617</v>
      </c>
      <c r="H117" s="75" t="s">
        <v>1610</v>
      </c>
      <c r="I117" s="179" t="s">
        <v>1630</v>
      </c>
      <c r="J117" s="183" t="s">
        <v>1631</v>
      </c>
      <c r="K117" s="183" t="s">
        <v>1553</v>
      </c>
      <c r="L117" s="176"/>
    </row>
    <row r="118" spans="1:12" ht="22.5">
      <c r="A118" s="185">
        <f>IF(B118="","",COUNTA($B$7:$B118))</f>
        <v>112</v>
      </c>
      <c r="B118" s="75" t="s">
        <v>1632</v>
      </c>
      <c r="C118" s="76" t="s">
        <v>1633</v>
      </c>
      <c r="D118" s="75" t="s">
        <v>1634</v>
      </c>
      <c r="E118" s="76" t="s">
        <v>1572</v>
      </c>
      <c r="F118" s="258" t="s">
        <v>1635</v>
      </c>
      <c r="G118" s="75" t="s">
        <v>1566</v>
      </c>
      <c r="H118" s="228" t="s">
        <v>1551</v>
      </c>
      <c r="I118" s="179" t="s">
        <v>1636</v>
      </c>
      <c r="J118" s="183" t="s">
        <v>1637</v>
      </c>
      <c r="K118" s="183" t="s">
        <v>1637</v>
      </c>
      <c r="L118" s="176"/>
    </row>
    <row r="119" spans="1:12" ht="22.5">
      <c r="A119" s="238">
        <f>IF(B119="","",COUNTA($B$7:$B119))</f>
        <v>113</v>
      </c>
      <c r="B119" s="232" t="s">
        <v>1048</v>
      </c>
      <c r="C119" s="232" t="s">
        <v>1638</v>
      </c>
      <c r="D119" s="232" t="s">
        <v>1639</v>
      </c>
      <c r="E119" s="232" t="s">
        <v>1572</v>
      </c>
      <c r="F119" s="232" t="s">
        <v>1640</v>
      </c>
      <c r="G119" s="232" t="s">
        <v>1550</v>
      </c>
      <c r="H119" s="233" t="s">
        <v>1610</v>
      </c>
      <c r="I119" s="234" t="s">
        <v>1641</v>
      </c>
      <c r="J119" s="235" t="s">
        <v>1553</v>
      </c>
      <c r="K119" s="235" t="s">
        <v>1553</v>
      </c>
      <c r="L119" s="176"/>
    </row>
    <row r="120" spans="1:12" ht="14.25">
      <c r="A120" s="238">
        <f>IF(B120="","",COUNTA($B$7:$B120))</f>
        <v>114</v>
      </c>
      <c r="B120" s="232" t="s">
        <v>1642</v>
      </c>
      <c r="C120" s="232" t="s">
        <v>1643</v>
      </c>
      <c r="D120" s="232" t="s">
        <v>1556</v>
      </c>
      <c r="E120" s="232" t="s">
        <v>1644</v>
      </c>
      <c r="F120" s="232" t="s">
        <v>1645</v>
      </c>
      <c r="G120" s="232" t="s">
        <v>1617</v>
      </c>
      <c r="H120" s="236" t="s">
        <v>1646</v>
      </c>
      <c r="I120" s="237"/>
      <c r="J120" s="235" t="s">
        <v>1553</v>
      </c>
      <c r="K120" s="235" t="s">
        <v>1553</v>
      </c>
      <c r="L120" s="176"/>
    </row>
    <row r="121" spans="1:12" ht="22.5">
      <c r="A121" s="185"/>
      <c r="B121" s="75" t="s">
        <v>1647</v>
      </c>
      <c r="C121" s="76" t="s">
        <v>1648</v>
      </c>
      <c r="D121" s="75" t="s">
        <v>1649</v>
      </c>
      <c r="E121" s="96" t="s">
        <v>1548</v>
      </c>
      <c r="F121" s="258" t="s">
        <v>1650</v>
      </c>
      <c r="G121" s="75" t="s">
        <v>1550</v>
      </c>
      <c r="H121" s="96" t="s">
        <v>1574</v>
      </c>
      <c r="I121" s="179" t="s">
        <v>1651</v>
      </c>
      <c r="J121" s="183" t="s">
        <v>1553</v>
      </c>
      <c r="K121" s="183" t="s">
        <v>1553</v>
      </c>
      <c r="L121" s="176" t="s">
        <v>1652</v>
      </c>
    </row>
    <row r="122" spans="1:12" ht="22.5">
      <c r="A122" s="185">
        <f>IF(B122="","",COUNTA($B$7:$B122))</f>
        <v>116</v>
      </c>
      <c r="B122" s="186" t="s">
        <v>1653</v>
      </c>
      <c r="C122" s="97" t="s">
        <v>1654</v>
      </c>
      <c r="D122" s="96" t="s">
        <v>1655</v>
      </c>
      <c r="E122" s="96" t="s">
        <v>1548</v>
      </c>
      <c r="F122" s="255" t="s">
        <v>1656</v>
      </c>
      <c r="G122" s="75" t="s">
        <v>1566</v>
      </c>
      <c r="H122" s="96" t="s">
        <v>1574</v>
      </c>
      <c r="I122" s="179" t="s">
        <v>1657</v>
      </c>
      <c r="J122" s="183" t="s">
        <v>1658</v>
      </c>
      <c r="K122" s="183" t="s">
        <v>1658</v>
      </c>
    </row>
    <row r="123" spans="1:12" ht="22.5">
      <c r="A123" s="185">
        <f>IF(B123="","",COUNTA($B$7:$B123))</f>
        <v>117</v>
      </c>
      <c r="B123" s="186" t="s">
        <v>1659</v>
      </c>
      <c r="C123" s="97" t="s">
        <v>1660</v>
      </c>
      <c r="D123" s="96" t="s">
        <v>1661</v>
      </c>
      <c r="E123" s="96" t="s">
        <v>1628</v>
      </c>
      <c r="F123" s="255" t="s">
        <v>1662</v>
      </c>
      <c r="G123" s="75" t="s">
        <v>1617</v>
      </c>
      <c r="H123" s="231" t="s">
        <v>1610</v>
      </c>
      <c r="I123" s="179" t="s">
        <v>1663</v>
      </c>
      <c r="J123" s="183" t="s">
        <v>1658</v>
      </c>
      <c r="K123" s="183" t="s">
        <v>1658</v>
      </c>
    </row>
    <row r="124" spans="1:12" ht="33.75">
      <c r="A124" s="185">
        <f>IF(B124="","",COUNTA($B$7:$B124))</f>
        <v>118</v>
      </c>
      <c r="B124" s="186" t="s">
        <v>1664</v>
      </c>
      <c r="C124" s="96" t="s">
        <v>799</v>
      </c>
      <c r="D124" s="96" t="s">
        <v>1665</v>
      </c>
      <c r="E124" s="96" t="s">
        <v>1548</v>
      </c>
      <c r="F124" s="255" t="s">
        <v>1666</v>
      </c>
      <c r="G124" s="75" t="s">
        <v>1566</v>
      </c>
      <c r="H124" s="96" t="s">
        <v>1574</v>
      </c>
      <c r="I124" s="179" t="s">
        <v>1667</v>
      </c>
      <c r="J124" s="183" t="s">
        <v>1658</v>
      </c>
      <c r="K124" s="183" t="s">
        <v>1658</v>
      </c>
    </row>
    <row r="125" spans="1:12" ht="22.5">
      <c r="A125" s="185">
        <f>IF(B125="","",COUNTA($B$7:$B125))</f>
        <v>119</v>
      </c>
      <c r="B125" s="186" t="s">
        <v>1668</v>
      </c>
      <c r="C125" s="97" t="s">
        <v>1669</v>
      </c>
      <c r="D125" s="96" t="s">
        <v>1670</v>
      </c>
      <c r="E125" s="96" t="s">
        <v>1548</v>
      </c>
      <c r="F125" s="255" t="s">
        <v>1671</v>
      </c>
      <c r="G125" s="75" t="s">
        <v>1550</v>
      </c>
      <c r="H125" s="231" t="s">
        <v>1610</v>
      </c>
      <c r="I125" s="179" t="s">
        <v>1672</v>
      </c>
      <c r="J125" s="183" t="s">
        <v>1658</v>
      </c>
      <c r="K125" s="183" t="s">
        <v>1658</v>
      </c>
    </row>
    <row r="126" spans="1:12" ht="22.5">
      <c r="A126" s="185">
        <f>IF(B126="","",COUNTA($B$7:$B126))</f>
        <v>120</v>
      </c>
      <c r="B126" s="186" t="s">
        <v>1673</v>
      </c>
      <c r="C126" s="97" t="s">
        <v>1674</v>
      </c>
      <c r="D126" s="96" t="s">
        <v>1675</v>
      </c>
      <c r="E126" s="96" t="s">
        <v>1615</v>
      </c>
      <c r="F126" s="255" t="s">
        <v>1676</v>
      </c>
      <c r="G126" s="75" t="s">
        <v>1617</v>
      </c>
      <c r="H126" s="231" t="s">
        <v>1610</v>
      </c>
      <c r="I126" s="179" t="s">
        <v>1677</v>
      </c>
      <c r="J126" s="183" t="s">
        <v>1658</v>
      </c>
      <c r="K126" s="183" t="s">
        <v>1658</v>
      </c>
    </row>
    <row r="127" spans="1:12" ht="22.5">
      <c r="A127" s="185">
        <f>IF(B127="","",COUNTA($B$7:$B127))</f>
        <v>121</v>
      </c>
      <c r="B127" s="186" t="s">
        <v>1678</v>
      </c>
      <c r="C127" s="97" t="s">
        <v>1679</v>
      </c>
      <c r="D127" s="96" t="s">
        <v>1680</v>
      </c>
      <c r="E127" s="96" t="s">
        <v>1572</v>
      </c>
      <c r="F127" s="255" t="s">
        <v>1681</v>
      </c>
      <c r="G127" s="75" t="s">
        <v>1550</v>
      </c>
      <c r="H127" s="228" t="s">
        <v>1551</v>
      </c>
      <c r="I127" s="179" t="s">
        <v>1682</v>
      </c>
      <c r="J127" s="183" t="s">
        <v>1658</v>
      </c>
      <c r="K127" s="183" t="s">
        <v>1658</v>
      </c>
    </row>
    <row r="128" spans="1:12" ht="33.75">
      <c r="A128" s="185">
        <f>IF(B128="","",COUNTA($B$7:$B128))</f>
        <v>122</v>
      </c>
      <c r="B128" s="186" t="s">
        <v>1683</v>
      </c>
      <c r="C128" s="229" t="s">
        <v>1684</v>
      </c>
      <c r="D128" s="96" t="s">
        <v>1685</v>
      </c>
      <c r="E128" s="96" t="s">
        <v>1548</v>
      </c>
      <c r="F128" s="256" t="s">
        <v>1686</v>
      </c>
      <c r="G128" s="75" t="s">
        <v>1566</v>
      </c>
      <c r="H128" s="96" t="s">
        <v>1574</v>
      </c>
      <c r="I128" s="179" t="s">
        <v>1687</v>
      </c>
      <c r="J128" s="183" t="s">
        <v>1688</v>
      </c>
      <c r="K128" s="183" t="s">
        <v>1658</v>
      </c>
    </row>
    <row r="129" spans="1:11" ht="22.5">
      <c r="A129" s="185">
        <f>IF(B129="","",COUNTA($B$7:$B129))</f>
        <v>123</v>
      </c>
      <c r="B129" s="105" t="s">
        <v>1689</v>
      </c>
      <c r="C129" s="229" t="s">
        <v>1690</v>
      </c>
      <c r="D129" s="105" t="s">
        <v>1691</v>
      </c>
      <c r="E129" s="96" t="s">
        <v>1548</v>
      </c>
      <c r="F129" s="256" t="s">
        <v>1692</v>
      </c>
      <c r="G129" s="75" t="s">
        <v>1566</v>
      </c>
      <c r="H129" s="228" t="s">
        <v>1551</v>
      </c>
      <c r="I129" s="179" t="s">
        <v>1693</v>
      </c>
      <c r="J129" s="183" t="s">
        <v>1568</v>
      </c>
      <c r="K129" s="183" t="s">
        <v>1658</v>
      </c>
    </row>
    <row r="130" spans="1:11" ht="22.5">
      <c r="A130" s="185">
        <f>IF(B130="","",COUNTA($B$7:$B130))</f>
        <v>124</v>
      </c>
      <c r="B130" s="186" t="s">
        <v>1694</v>
      </c>
      <c r="C130" s="76" t="s">
        <v>1695</v>
      </c>
      <c r="D130" s="75" t="s">
        <v>1696</v>
      </c>
      <c r="E130" s="96" t="s">
        <v>1615</v>
      </c>
      <c r="F130" s="255" t="s">
        <v>1697</v>
      </c>
      <c r="G130" s="75" t="s">
        <v>1550</v>
      </c>
      <c r="H130" s="228" t="s">
        <v>1551</v>
      </c>
      <c r="I130" s="230" t="s">
        <v>1698</v>
      </c>
      <c r="J130" s="183" t="s">
        <v>1658</v>
      </c>
      <c r="K130" s="183" t="s">
        <v>1658</v>
      </c>
    </row>
    <row r="131" spans="1:11" ht="22.5">
      <c r="A131" s="185">
        <f>IF(B131="","",COUNTA($B$7:$B131))</f>
        <v>125</v>
      </c>
      <c r="B131" s="186" t="s">
        <v>1699</v>
      </c>
      <c r="C131" s="76" t="s">
        <v>1643</v>
      </c>
      <c r="D131" s="75" t="s">
        <v>1700</v>
      </c>
      <c r="E131" s="76" t="s">
        <v>1557</v>
      </c>
      <c r="F131" s="258" t="s">
        <v>1701</v>
      </c>
      <c r="G131" s="75" t="s">
        <v>1566</v>
      </c>
      <c r="H131" s="96" t="s">
        <v>1574</v>
      </c>
      <c r="I131" s="179" t="s">
        <v>1702</v>
      </c>
      <c r="J131" s="183" t="s">
        <v>1658</v>
      </c>
      <c r="K131" s="183" t="s">
        <v>1658</v>
      </c>
    </row>
    <row r="132" spans="1:11" ht="33.75">
      <c r="A132" s="185">
        <f>IF(B132="","",COUNTA($B$7:$B132))</f>
        <v>126</v>
      </c>
      <c r="B132" s="75" t="s">
        <v>1006</v>
      </c>
      <c r="C132" s="76" t="s">
        <v>1703</v>
      </c>
      <c r="D132" s="75" t="s">
        <v>1704</v>
      </c>
      <c r="E132" s="76" t="s">
        <v>1572</v>
      </c>
      <c r="F132" s="258" t="s">
        <v>1705</v>
      </c>
      <c r="G132" s="75" t="s">
        <v>1550</v>
      </c>
      <c r="H132" s="231" t="s">
        <v>1610</v>
      </c>
      <c r="I132" s="179" t="s">
        <v>1706</v>
      </c>
      <c r="J132" s="183" t="s">
        <v>1658</v>
      </c>
      <c r="K132" s="183" t="s">
        <v>1658</v>
      </c>
    </row>
    <row r="133" spans="1:11" ht="22.5">
      <c r="A133" s="185">
        <f>IF(B133="","",COUNTA($B$7:$B133))</f>
        <v>127</v>
      </c>
      <c r="B133" s="75" t="s">
        <v>1707</v>
      </c>
      <c r="C133" s="76" t="s">
        <v>1708</v>
      </c>
      <c r="D133" s="75" t="s">
        <v>1709</v>
      </c>
      <c r="E133" s="96" t="s">
        <v>1710</v>
      </c>
      <c r="F133" s="258" t="s">
        <v>1711</v>
      </c>
      <c r="G133" s="75" t="s">
        <v>1617</v>
      </c>
      <c r="H133" s="228" t="s">
        <v>1551</v>
      </c>
      <c r="I133" s="179" t="s">
        <v>1712</v>
      </c>
      <c r="J133" s="183" t="s">
        <v>1658</v>
      </c>
      <c r="K133" s="183" t="s">
        <v>1658</v>
      </c>
    </row>
    <row r="134" spans="1:11" ht="33.75">
      <c r="A134" s="185">
        <f>IF(B134="","",COUNTA($B$7:$B134))</f>
        <v>128</v>
      </c>
      <c r="B134" s="75" t="s">
        <v>1713</v>
      </c>
      <c r="C134" s="76" t="s">
        <v>1638</v>
      </c>
      <c r="D134" s="75" t="s">
        <v>1714</v>
      </c>
      <c r="E134" s="96" t="s">
        <v>1548</v>
      </c>
      <c r="F134" s="258" t="s">
        <v>1715</v>
      </c>
      <c r="G134" s="75" t="s">
        <v>1566</v>
      </c>
      <c r="H134" s="96" t="s">
        <v>1574</v>
      </c>
      <c r="I134" s="179" t="s">
        <v>1716</v>
      </c>
      <c r="J134" s="183" t="s">
        <v>1658</v>
      </c>
      <c r="K134" s="183" t="s">
        <v>1658</v>
      </c>
    </row>
    <row r="135" spans="1:11" ht="33.75">
      <c r="A135" s="185">
        <f>IF(B135="","",COUNTA($B$7:$B135))</f>
        <v>129</v>
      </c>
      <c r="B135" s="75" t="s">
        <v>486</v>
      </c>
      <c r="C135" s="76" t="s">
        <v>1717</v>
      </c>
      <c r="D135" s="75" t="s">
        <v>1718</v>
      </c>
      <c r="E135" s="96" t="s">
        <v>1572</v>
      </c>
      <c r="F135" s="194" t="s">
        <v>1719</v>
      </c>
      <c r="G135" s="75" t="s">
        <v>1550</v>
      </c>
      <c r="H135" s="231" t="s">
        <v>1610</v>
      </c>
      <c r="I135" s="239" t="s">
        <v>1720</v>
      </c>
      <c r="J135" s="183" t="s">
        <v>1658</v>
      </c>
      <c r="K135" s="183" t="s">
        <v>1658</v>
      </c>
    </row>
    <row r="136" spans="1:11" ht="33.75">
      <c r="A136" s="185">
        <f>IF(B136="","",COUNTA($B$7:$B136))</f>
        <v>130</v>
      </c>
      <c r="B136" s="75" t="s">
        <v>482</v>
      </c>
      <c r="C136" s="76" t="s">
        <v>1721</v>
      </c>
      <c r="D136" s="96" t="s">
        <v>1722</v>
      </c>
      <c r="E136" s="96" t="s">
        <v>1548</v>
      </c>
      <c r="F136" s="194" t="s">
        <v>1723</v>
      </c>
      <c r="G136" s="75" t="s">
        <v>1550</v>
      </c>
      <c r="H136" s="75" t="s">
        <v>1610</v>
      </c>
      <c r="I136" s="239" t="s">
        <v>1724</v>
      </c>
      <c r="J136" s="183" t="s">
        <v>1658</v>
      </c>
      <c r="K136" s="183" t="s">
        <v>1658</v>
      </c>
    </row>
    <row r="137" spans="1:11" ht="33.75">
      <c r="A137" s="185">
        <f>IF(B137="","",COUNTA($B$7:$B137))</f>
        <v>131</v>
      </c>
      <c r="B137" s="75" t="s">
        <v>1725</v>
      </c>
      <c r="C137" s="75" t="s">
        <v>1726</v>
      </c>
      <c r="D137" s="75" t="s">
        <v>1727</v>
      </c>
      <c r="E137" s="96" t="s">
        <v>1728</v>
      </c>
      <c r="F137" s="258" t="s">
        <v>1729</v>
      </c>
      <c r="G137" s="75" t="s">
        <v>1617</v>
      </c>
      <c r="H137" s="228" t="s">
        <v>1551</v>
      </c>
      <c r="I137" s="179" t="s">
        <v>1730</v>
      </c>
      <c r="J137" s="240" t="s">
        <v>1731</v>
      </c>
      <c r="K137" s="240" t="s">
        <v>1731</v>
      </c>
    </row>
    <row r="138" spans="1:11">
      <c r="F138" s="206"/>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B5" sqref="B5:C5"/>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72" t="s">
        <v>452</v>
      </c>
      <c r="AA1" s="85" t="s">
        <v>286</v>
      </c>
    </row>
    <row r="2" spans="2:27" ht="15.95" customHeight="1" thickBot="1">
      <c r="K2" s="2" t="s">
        <v>1</v>
      </c>
      <c r="L2" s="143"/>
      <c r="M2" s="274"/>
      <c r="N2" s="29" t="s">
        <v>454</v>
      </c>
      <c r="O2" s="174"/>
      <c r="P2" s="174"/>
      <c r="Q2" s="174"/>
      <c r="R2" s="173"/>
      <c r="S2" s="7" t="s">
        <v>451</v>
      </c>
      <c r="T2" s="174" t="s">
        <v>450</v>
      </c>
      <c r="U2" s="80"/>
      <c r="AA2" s="86">
        <v>4410</v>
      </c>
    </row>
    <row r="3" spans="2:27" ht="26.25" customHeight="1" thickBot="1">
      <c r="B3" s="172" t="s">
        <v>2</v>
      </c>
      <c r="C3" s="172"/>
      <c r="D3" s="172"/>
      <c r="E3" s="165"/>
      <c r="F3" s="165"/>
      <c r="G3" s="168"/>
      <c r="H3" s="171"/>
      <c r="I3" s="165" t="s">
        <v>449</v>
      </c>
      <c r="K3" s="270">
        <f>VLOOKUP(AA2,車両一覧!$A$2:$T$151,1,0)</f>
        <v>4410</v>
      </c>
      <c r="L3" s="271"/>
      <c r="M3" s="275"/>
      <c r="N3" s="363" t="str">
        <f>VLOOKUP($AA$2,車両一覧!$A$2:$T$151,4,0)</f>
        <v>宮城100き4410</v>
      </c>
      <c r="O3" s="364"/>
      <c r="P3" s="364"/>
      <c r="Q3" s="364"/>
      <c r="R3" s="365"/>
      <c r="S3" s="271" t="str">
        <f>VLOOKUP($AA$2,車両一覧!$A$2:$T$151,7,0)</f>
        <v>三菱</v>
      </c>
      <c r="T3" s="169"/>
      <c r="U3" s="18"/>
    </row>
    <row r="4" spans="2:27" ht="15.95" customHeight="1" thickBot="1">
      <c r="E4" s="165"/>
      <c r="F4" s="165"/>
      <c r="G4" s="165"/>
      <c r="H4" s="165"/>
      <c r="I4" s="165"/>
      <c r="K4" s="11" t="s">
        <v>4</v>
      </c>
      <c r="L4" s="126"/>
      <c r="M4" s="276"/>
      <c r="N4" s="83" t="s">
        <v>453</v>
      </c>
      <c r="O4" s="170"/>
      <c r="P4" s="367"/>
      <c r="Q4" s="367"/>
      <c r="R4" s="368"/>
      <c r="S4" s="16" t="s">
        <v>448</v>
      </c>
      <c r="T4" s="273"/>
      <c r="U4" s="84"/>
    </row>
    <row r="5" spans="2:27" ht="25.5" customHeight="1" thickTop="1" thickBot="1">
      <c r="B5" s="396" t="s">
        <v>5</v>
      </c>
      <c r="C5" s="396"/>
      <c r="E5" s="168"/>
      <c r="F5" s="165" t="s">
        <v>447</v>
      </c>
      <c r="G5" s="167"/>
      <c r="H5" s="166"/>
      <c r="I5" s="165" t="s">
        <v>446</v>
      </c>
      <c r="J5" s="8"/>
      <c r="K5" s="277"/>
      <c r="L5" s="272"/>
      <c r="M5" s="278"/>
      <c r="N5" s="360" t="str">
        <f>VLOOKUP($AA$2,車両一覧!$A$2:$T$151,8,0)</f>
        <v>FS54JZ-542354</v>
      </c>
      <c r="O5" s="361"/>
      <c r="P5" s="361"/>
      <c r="Q5" s="361"/>
      <c r="R5" s="362"/>
      <c r="S5" s="272" t="str">
        <f>VLOOKUP($AA$2,車両一覧!$A$2:$T$151,5,0)</f>
        <v>平成19年5月</v>
      </c>
      <c r="T5" s="164"/>
      <c r="U5" s="26"/>
    </row>
    <row r="6" spans="2:27" ht="17.100000000000001" customHeight="1" thickBot="1">
      <c r="B6" s="27" t="s">
        <v>7</v>
      </c>
      <c r="C6" s="27"/>
    </row>
    <row r="7" spans="2:27" ht="18" customHeight="1" thickBot="1">
      <c r="B7" s="400" t="s">
        <v>8</v>
      </c>
      <c r="C7" s="401"/>
      <c r="D7" s="402" t="s">
        <v>9</v>
      </c>
      <c r="E7" s="403"/>
      <c r="F7" s="401"/>
      <c r="G7" s="30"/>
      <c r="H7" s="12"/>
      <c r="K7" s="28" t="s">
        <v>8</v>
      </c>
      <c r="L7" s="175" t="s">
        <v>9</v>
      </c>
      <c r="M7" s="4"/>
      <c r="N7" s="115"/>
      <c r="R7" s="28" t="s">
        <v>8</v>
      </c>
      <c r="S7" s="7" t="s">
        <v>9</v>
      </c>
      <c r="T7" s="30"/>
      <c r="U7" s="148"/>
      <c r="V7" s="148"/>
      <c r="W7" s="148"/>
      <c r="X7" s="148"/>
    </row>
    <row r="8" spans="2:27" ht="18" customHeight="1" thickTop="1">
      <c r="B8" s="304" t="s">
        <v>69</v>
      </c>
      <c r="C8" s="305"/>
      <c r="D8" s="404"/>
      <c r="E8" s="404"/>
      <c r="F8" s="404"/>
      <c r="G8" s="18"/>
      <c r="H8" s="12"/>
      <c r="K8" s="31"/>
      <c r="L8" s="36" t="s">
        <v>45</v>
      </c>
      <c r="M8" s="54"/>
      <c r="N8" s="158"/>
      <c r="R8" s="31" t="s">
        <v>76</v>
      </c>
      <c r="S8" s="12"/>
      <c r="T8" s="18"/>
      <c r="U8" s="148"/>
      <c r="V8" s="149"/>
      <c r="W8" s="148"/>
      <c r="X8" s="148"/>
    </row>
    <row r="9" spans="2:27" ht="18" customHeight="1" thickBot="1">
      <c r="B9" s="323"/>
      <c r="C9" s="324"/>
      <c r="D9" s="324"/>
      <c r="E9" s="324"/>
      <c r="F9" s="324"/>
      <c r="G9" s="18"/>
      <c r="H9" s="12"/>
      <c r="K9" s="46"/>
      <c r="L9" s="17"/>
      <c r="M9" s="64"/>
      <c r="N9" s="156"/>
      <c r="R9" s="46"/>
      <c r="S9" s="40"/>
      <c r="T9" s="131"/>
      <c r="U9" s="148"/>
      <c r="V9" s="148"/>
      <c r="W9" s="148"/>
      <c r="X9" s="148"/>
    </row>
    <row r="10" spans="2:27" ht="18" customHeight="1" thickTop="1">
      <c r="B10" s="302" t="s">
        <v>445</v>
      </c>
      <c r="C10" s="303"/>
      <c r="D10" s="366" t="s">
        <v>81</v>
      </c>
      <c r="E10" s="382"/>
      <c r="F10" s="382"/>
      <c r="G10" s="155"/>
      <c r="H10" s="148"/>
      <c r="K10" s="31" t="s">
        <v>75</v>
      </c>
      <c r="L10" s="35"/>
      <c r="M10" s="35"/>
      <c r="N10" s="18"/>
      <c r="R10" s="45" t="s">
        <v>98</v>
      </c>
      <c r="S10" s="51" t="s">
        <v>99</v>
      </c>
      <c r="T10" s="155"/>
      <c r="U10" s="148"/>
      <c r="V10" s="148"/>
      <c r="W10" s="148"/>
      <c r="X10" s="148"/>
    </row>
    <row r="11" spans="2:27" ht="18" customHeight="1">
      <c r="B11" s="323"/>
      <c r="C11" s="343"/>
      <c r="D11" s="377"/>
      <c r="E11" s="324"/>
      <c r="F11" s="324"/>
      <c r="G11" s="157"/>
      <c r="H11" s="148"/>
      <c r="K11" s="46"/>
      <c r="L11" s="40"/>
      <c r="M11" s="40"/>
      <c r="N11" s="131"/>
      <c r="R11" s="42"/>
      <c r="S11" s="52"/>
      <c r="T11" s="157"/>
      <c r="U11" s="148"/>
      <c r="V11" s="148"/>
      <c r="W11" s="148"/>
      <c r="X11" s="148"/>
    </row>
    <row r="12" spans="2:27" ht="18" customHeight="1">
      <c r="B12" s="302" t="s">
        <v>87</v>
      </c>
      <c r="C12" s="303"/>
      <c r="D12" s="366" t="s">
        <v>88</v>
      </c>
      <c r="E12" s="382"/>
      <c r="F12" s="303"/>
      <c r="G12" s="155"/>
      <c r="H12" s="148"/>
      <c r="K12" s="44" t="s">
        <v>406</v>
      </c>
      <c r="L12" s="366" t="s">
        <v>82</v>
      </c>
      <c r="M12" s="303"/>
      <c r="N12" s="155"/>
      <c r="R12" s="11"/>
      <c r="S12" s="35"/>
      <c r="T12" s="18"/>
      <c r="U12" s="148"/>
      <c r="V12" s="148"/>
      <c r="W12" s="148"/>
      <c r="X12" s="148"/>
    </row>
    <row r="13" spans="2:27" ht="18" customHeight="1">
      <c r="B13" s="320"/>
      <c r="C13" s="392"/>
      <c r="D13" s="395"/>
      <c r="E13" s="321"/>
      <c r="F13" s="321"/>
      <c r="G13" s="154"/>
      <c r="H13" s="148"/>
      <c r="K13" s="11"/>
      <c r="L13" s="349"/>
      <c r="M13" s="350"/>
      <c r="N13" s="157"/>
      <c r="R13" s="11"/>
      <c r="S13" s="40"/>
      <c r="T13" s="131"/>
      <c r="U13" s="148"/>
      <c r="V13" s="148"/>
      <c r="W13" s="148"/>
      <c r="X13" s="148"/>
    </row>
    <row r="14" spans="2:27" ht="18" customHeight="1">
      <c r="B14" s="320"/>
      <c r="C14" s="392"/>
      <c r="D14" s="366" t="s">
        <v>81</v>
      </c>
      <c r="E14" s="382"/>
      <c r="F14" s="303"/>
      <c r="G14" s="155"/>
      <c r="H14" s="148"/>
      <c r="K14" s="11"/>
      <c r="L14" s="36" t="s">
        <v>443</v>
      </c>
      <c r="M14" s="36"/>
      <c r="N14" s="155"/>
      <c r="R14" s="45" t="s">
        <v>444</v>
      </c>
      <c r="S14" s="51" t="s">
        <v>91</v>
      </c>
      <c r="T14" s="154"/>
      <c r="U14" s="148"/>
      <c r="V14" s="148"/>
      <c r="W14" s="148"/>
      <c r="X14" s="148"/>
    </row>
    <row r="15" spans="2:27" ht="18" customHeight="1" thickBot="1">
      <c r="B15" s="323"/>
      <c r="C15" s="343"/>
      <c r="D15" s="377"/>
      <c r="E15" s="324"/>
      <c r="F15" s="324"/>
      <c r="G15" s="157"/>
      <c r="H15" s="148"/>
      <c r="K15" s="11"/>
      <c r="L15" s="41" t="s">
        <v>90</v>
      </c>
      <c r="M15" s="40"/>
      <c r="N15" s="154"/>
      <c r="R15" s="42"/>
      <c r="S15" s="41"/>
      <c r="T15" s="154"/>
      <c r="U15" s="148"/>
      <c r="V15" s="148"/>
      <c r="W15" s="148"/>
      <c r="X15" s="148"/>
    </row>
    <row r="16" spans="2:27" ht="18" customHeight="1" thickTop="1">
      <c r="B16" s="302" t="s">
        <v>94</v>
      </c>
      <c r="C16" s="303"/>
      <c r="D16" s="366" t="s">
        <v>95</v>
      </c>
      <c r="E16" s="382"/>
      <c r="F16" s="303"/>
      <c r="G16" s="154"/>
      <c r="H16" s="148"/>
      <c r="K16" s="11"/>
      <c r="L16" s="36" t="s">
        <v>443</v>
      </c>
      <c r="M16" s="12"/>
      <c r="N16" s="158"/>
      <c r="R16" s="11"/>
      <c r="S16" s="35"/>
      <c r="T16" s="99"/>
      <c r="U16" s="148"/>
      <c r="V16" s="148"/>
      <c r="W16" s="148"/>
      <c r="X16" s="148"/>
    </row>
    <row r="17" spans="2:24" ht="18" customHeight="1" thickBot="1">
      <c r="B17" s="320"/>
      <c r="C17" s="392"/>
      <c r="D17" s="377"/>
      <c r="E17" s="324"/>
      <c r="F17" s="343"/>
      <c r="G17" s="154"/>
      <c r="H17" s="148"/>
      <c r="K17" s="11"/>
      <c r="L17" s="41" t="s">
        <v>92</v>
      </c>
      <c r="M17" s="40"/>
      <c r="N17" s="156"/>
      <c r="R17" s="11"/>
      <c r="S17" s="40"/>
      <c r="T17" s="131"/>
      <c r="U17" s="148"/>
      <c r="V17" s="148"/>
      <c r="W17" s="148"/>
      <c r="X17" s="148"/>
    </row>
    <row r="18" spans="2:24" ht="18" customHeight="1" thickTop="1">
      <c r="B18" s="302" t="s">
        <v>442</v>
      </c>
      <c r="C18" s="303"/>
      <c r="D18" s="366" t="s">
        <v>441</v>
      </c>
      <c r="E18" s="382"/>
      <c r="F18" s="303"/>
      <c r="G18" s="155"/>
      <c r="H18" s="148"/>
      <c r="K18" s="11"/>
      <c r="L18" s="36" t="s">
        <v>440</v>
      </c>
      <c r="M18" s="12"/>
      <c r="N18" s="158"/>
      <c r="R18" s="45" t="s">
        <v>111</v>
      </c>
      <c r="S18" s="51" t="s">
        <v>117</v>
      </c>
      <c r="T18" s="155"/>
      <c r="U18" s="148"/>
      <c r="V18" s="148"/>
      <c r="W18" s="148"/>
      <c r="X18" s="148"/>
    </row>
    <row r="19" spans="2:24" ht="18" customHeight="1" thickBot="1">
      <c r="B19" s="320"/>
      <c r="C19" s="392"/>
      <c r="D19" s="377"/>
      <c r="E19" s="324"/>
      <c r="F19" s="343"/>
      <c r="G19" s="154"/>
      <c r="H19" s="148"/>
      <c r="K19" s="11"/>
      <c r="L19" s="41" t="s">
        <v>102</v>
      </c>
      <c r="M19" s="40"/>
      <c r="N19" s="156"/>
      <c r="R19" s="42"/>
      <c r="S19" s="52"/>
      <c r="T19" s="154"/>
      <c r="U19" s="148"/>
      <c r="V19" s="148"/>
      <c r="W19" s="148"/>
      <c r="X19" s="148"/>
    </row>
    <row r="20" spans="2:24" ht="18" customHeight="1" thickTop="1">
      <c r="B20" s="320"/>
      <c r="C20" s="392"/>
      <c r="D20" s="366" t="s">
        <v>118</v>
      </c>
      <c r="E20" s="382"/>
      <c r="F20" s="393"/>
      <c r="G20" s="158"/>
      <c r="H20" s="148"/>
      <c r="K20" s="11"/>
      <c r="L20" s="36" t="s">
        <v>439</v>
      </c>
      <c r="M20" s="12"/>
      <c r="N20" s="158"/>
      <c r="R20" s="11"/>
      <c r="S20" s="35"/>
      <c r="T20" s="99"/>
      <c r="U20" s="148"/>
      <c r="V20" s="148"/>
      <c r="W20" s="148"/>
      <c r="X20" s="148"/>
    </row>
    <row r="21" spans="2:24" ht="18" customHeight="1" thickBot="1">
      <c r="B21" s="323"/>
      <c r="C21" s="343"/>
      <c r="D21" s="377"/>
      <c r="E21" s="324"/>
      <c r="F21" s="394"/>
      <c r="G21" s="156"/>
      <c r="H21" s="148"/>
      <c r="K21" s="46"/>
      <c r="L21" s="41"/>
      <c r="M21" s="40"/>
      <c r="N21" s="156"/>
      <c r="R21" s="11"/>
      <c r="S21" s="40"/>
      <c r="T21" s="163"/>
      <c r="U21" s="148"/>
      <c r="V21" s="148"/>
      <c r="W21" s="148"/>
      <c r="X21" s="148"/>
    </row>
    <row r="22" spans="2:24" ht="18" customHeight="1" thickTop="1">
      <c r="B22" s="302" t="s">
        <v>438</v>
      </c>
      <c r="C22" s="303"/>
      <c r="D22" s="17" t="s">
        <v>66</v>
      </c>
      <c r="E22" s="12"/>
      <c r="F22" s="12"/>
      <c r="G22" s="158"/>
      <c r="H22" s="148"/>
      <c r="K22" s="44" t="s">
        <v>109</v>
      </c>
      <c r="L22" s="35"/>
      <c r="M22" s="12"/>
      <c r="N22" s="162"/>
      <c r="R22" s="45" t="s">
        <v>121</v>
      </c>
      <c r="S22" s="36" t="s">
        <v>122</v>
      </c>
      <c r="T22" s="158"/>
      <c r="U22" s="148"/>
      <c r="V22" s="148"/>
      <c r="W22" s="148"/>
      <c r="X22" s="148"/>
    </row>
    <row r="23" spans="2:24" ht="18" customHeight="1" thickBot="1">
      <c r="B23" s="389" t="s">
        <v>437</v>
      </c>
      <c r="C23" s="350"/>
      <c r="D23" s="349"/>
      <c r="E23" s="390"/>
      <c r="F23" s="391"/>
      <c r="G23" s="156"/>
      <c r="H23" s="148"/>
      <c r="K23" s="46"/>
      <c r="L23" s="40"/>
      <c r="M23" s="40"/>
      <c r="N23" s="48"/>
      <c r="R23" s="38"/>
      <c r="S23" s="41"/>
      <c r="T23" s="156"/>
      <c r="U23" s="148"/>
      <c r="V23" s="148"/>
      <c r="W23" s="148"/>
      <c r="X23" s="148"/>
    </row>
    <row r="24" spans="2:24" ht="18" customHeight="1" thickTop="1">
      <c r="B24" s="44" t="s">
        <v>436</v>
      </c>
      <c r="C24" s="53"/>
      <c r="D24" s="366" t="s">
        <v>138</v>
      </c>
      <c r="E24" s="382"/>
      <c r="F24" s="382"/>
      <c r="G24" s="161"/>
      <c r="H24" s="148"/>
      <c r="K24" s="44" t="s">
        <v>435</v>
      </c>
      <c r="L24" s="36" t="s">
        <v>115</v>
      </c>
      <c r="M24" s="53"/>
      <c r="N24" s="155"/>
      <c r="R24" s="38"/>
      <c r="S24" s="36" t="s">
        <v>434</v>
      </c>
      <c r="T24" s="158"/>
      <c r="U24" s="148"/>
      <c r="V24" s="148"/>
      <c r="W24" s="148"/>
      <c r="X24" s="148"/>
    </row>
    <row r="25" spans="2:24" ht="18" customHeight="1" thickBot="1">
      <c r="B25" s="11"/>
      <c r="C25" s="13"/>
      <c r="D25" s="377"/>
      <c r="E25" s="324"/>
      <c r="F25" s="324"/>
      <c r="G25" s="160"/>
      <c r="H25" s="148"/>
      <c r="K25" s="11"/>
      <c r="L25" s="41"/>
      <c r="M25" s="13"/>
      <c r="N25" s="154"/>
      <c r="R25" s="38"/>
      <c r="S25" s="41"/>
      <c r="T25" s="156"/>
      <c r="U25" s="148"/>
      <c r="V25" s="148"/>
      <c r="W25" s="148"/>
      <c r="X25" s="148"/>
    </row>
    <row r="26" spans="2:24" ht="18" customHeight="1" thickTop="1">
      <c r="B26" s="45" t="s">
        <v>433</v>
      </c>
      <c r="C26" s="35"/>
      <c r="D26" s="366" t="s">
        <v>12</v>
      </c>
      <c r="E26" s="382"/>
      <c r="F26" s="303"/>
      <c r="G26" s="154"/>
      <c r="H26" s="148"/>
      <c r="K26" s="11"/>
      <c r="L26" s="118" t="s">
        <v>119</v>
      </c>
      <c r="M26" s="122"/>
      <c r="N26" s="158"/>
      <c r="R26" s="44"/>
      <c r="S26" s="35"/>
      <c r="T26" s="99"/>
      <c r="U26" s="148"/>
      <c r="V26" s="148"/>
      <c r="W26" s="148"/>
      <c r="X26" s="148"/>
    </row>
    <row r="27" spans="2:24" ht="18" customHeight="1" thickBot="1">
      <c r="B27" s="11" t="s">
        <v>432</v>
      </c>
      <c r="C27" s="13"/>
      <c r="D27" s="377"/>
      <c r="E27" s="324"/>
      <c r="F27" s="343"/>
      <c r="G27" s="157"/>
      <c r="H27" s="148"/>
      <c r="K27" s="46"/>
      <c r="L27" s="120" t="s">
        <v>104</v>
      </c>
      <c r="M27" s="109"/>
      <c r="N27" s="156"/>
      <c r="R27" s="46"/>
      <c r="S27" s="40"/>
      <c r="T27" s="18"/>
      <c r="U27" s="148"/>
      <c r="V27" s="148"/>
      <c r="W27" s="148"/>
      <c r="X27" s="148"/>
    </row>
    <row r="28" spans="2:24" ht="18" customHeight="1" thickTop="1">
      <c r="B28" s="11"/>
      <c r="C28" s="13"/>
      <c r="D28" s="51" t="s">
        <v>16</v>
      </c>
      <c r="E28" s="51"/>
      <c r="F28" s="51"/>
      <c r="G28" s="155"/>
      <c r="H28" s="148"/>
      <c r="K28" s="11" t="s">
        <v>431</v>
      </c>
      <c r="L28" s="36" t="s">
        <v>134</v>
      </c>
      <c r="M28" s="35"/>
      <c r="N28" s="155"/>
      <c r="R28" s="38" t="s">
        <v>142</v>
      </c>
      <c r="S28" s="123" t="s">
        <v>143</v>
      </c>
      <c r="T28" s="155"/>
      <c r="U28" s="148"/>
      <c r="V28" s="148"/>
      <c r="W28" s="148"/>
      <c r="X28" s="148"/>
    </row>
    <row r="29" spans="2:24" ht="18" customHeight="1" thickBot="1">
      <c r="B29" s="11"/>
      <c r="C29" s="13"/>
      <c r="D29" s="41" t="s">
        <v>20</v>
      </c>
      <c r="E29" s="40"/>
      <c r="F29" s="48"/>
      <c r="G29" s="154"/>
      <c r="H29" s="148"/>
      <c r="K29" s="11"/>
      <c r="L29" s="120"/>
      <c r="M29" s="124"/>
      <c r="N29" s="157"/>
      <c r="R29" s="38"/>
      <c r="S29" s="123"/>
      <c r="T29" s="154"/>
      <c r="U29" s="148"/>
      <c r="V29" s="148"/>
      <c r="W29" s="148"/>
      <c r="X29" s="148"/>
    </row>
    <row r="30" spans="2:24" ht="18" customHeight="1" thickTop="1">
      <c r="B30" s="11"/>
      <c r="C30" s="13"/>
      <c r="D30" s="118" t="s">
        <v>23</v>
      </c>
      <c r="E30" s="117"/>
      <c r="F30" s="122"/>
      <c r="G30" s="158"/>
      <c r="H30" s="148"/>
      <c r="K30" s="38"/>
      <c r="L30" s="36" t="s">
        <v>139</v>
      </c>
      <c r="M30" s="35"/>
      <c r="N30" s="155"/>
      <c r="R30" s="44"/>
      <c r="S30" s="35"/>
      <c r="T30" s="99"/>
      <c r="U30" s="148"/>
      <c r="V30" s="148"/>
      <c r="W30" s="148"/>
      <c r="X30" s="148"/>
    </row>
    <row r="31" spans="2:24" ht="18" customHeight="1" thickBot="1">
      <c r="B31" s="111"/>
      <c r="C31" s="112"/>
      <c r="D31" s="120"/>
      <c r="E31" s="124"/>
      <c r="F31" s="121"/>
      <c r="G31" s="156"/>
      <c r="H31" s="148"/>
      <c r="K31" s="38"/>
      <c r="L31" s="41"/>
      <c r="M31" s="40"/>
      <c r="N31" s="157"/>
      <c r="R31" s="11"/>
      <c r="S31" s="12"/>
      <c r="T31" s="18"/>
      <c r="U31" s="148"/>
      <c r="V31" s="148"/>
      <c r="W31" s="148"/>
      <c r="X31" s="148"/>
    </row>
    <row r="32" spans="2:24" ht="18" customHeight="1" thickTop="1">
      <c r="B32" s="44" t="s">
        <v>211</v>
      </c>
      <c r="C32" s="53"/>
      <c r="D32" s="36" t="s">
        <v>27</v>
      </c>
      <c r="E32" s="12"/>
      <c r="F32" s="12"/>
      <c r="G32" s="158"/>
      <c r="H32" s="148"/>
      <c r="K32" s="38"/>
      <c r="L32" s="36" t="s">
        <v>144</v>
      </c>
      <c r="M32" s="35"/>
      <c r="N32" s="155"/>
      <c r="R32" s="11"/>
      <c r="S32" s="12"/>
      <c r="T32" s="153"/>
      <c r="U32" s="148"/>
      <c r="V32" s="148"/>
      <c r="W32" s="148"/>
      <c r="X32" s="148"/>
    </row>
    <row r="33" spans="1:24" ht="18" customHeight="1" thickBot="1">
      <c r="B33" s="46"/>
      <c r="C33" s="48"/>
      <c r="D33" s="40"/>
      <c r="E33" s="40"/>
      <c r="F33" s="40"/>
      <c r="G33" s="156"/>
      <c r="H33" s="148"/>
      <c r="K33" s="38"/>
      <c r="L33" s="17" t="s">
        <v>241</v>
      </c>
      <c r="M33" s="40"/>
      <c r="N33" s="159"/>
      <c r="R33" s="11"/>
      <c r="S33" s="12"/>
      <c r="T33" s="153"/>
      <c r="U33" s="148"/>
      <c r="V33" s="148"/>
      <c r="W33" s="148"/>
      <c r="X33" s="148"/>
    </row>
    <row r="34" spans="1:24" ht="18" customHeight="1" thickTop="1">
      <c r="B34" s="44" t="s">
        <v>213</v>
      </c>
      <c r="C34" s="53"/>
      <c r="D34" s="12" t="s">
        <v>35</v>
      </c>
      <c r="E34" s="12"/>
      <c r="F34" s="12"/>
      <c r="G34" s="155"/>
      <c r="H34" s="148"/>
      <c r="K34" s="11"/>
      <c r="L34" s="36" t="s">
        <v>13</v>
      </c>
      <c r="M34" s="64"/>
      <c r="N34" s="158"/>
      <c r="R34" s="11"/>
      <c r="S34" s="12"/>
      <c r="T34" s="153"/>
      <c r="U34" s="148"/>
      <c r="V34" s="148"/>
      <c r="W34" s="148"/>
      <c r="X34" s="148"/>
    </row>
    <row r="35" spans="1:24" ht="18" customHeight="1" thickBot="1">
      <c r="B35" s="11" t="s">
        <v>38</v>
      </c>
      <c r="C35" s="13"/>
      <c r="D35" s="12" t="s">
        <v>241</v>
      </c>
      <c r="E35" s="12"/>
      <c r="F35" s="12"/>
      <c r="G35" s="157"/>
      <c r="H35" s="148"/>
      <c r="K35" s="11"/>
      <c r="L35" s="17"/>
      <c r="M35" s="55"/>
      <c r="N35" s="156"/>
      <c r="R35" s="11"/>
      <c r="S35" s="12"/>
      <c r="T35" s="153"/>
      <c r="U35" s="148"/>
      <c r="V35" s="148"/>
      <c r="W35" s="148"/>
      <c r="X35" s="148"/>
    </row>
    <row r="36" spans="1:24" ht="18" customHeight="1" thickTop="1">
      <c r="B36" s="110"/>
      <c r="C36" s="119"/>
      <c r="D36" s="118" t="s">
        <v>40</v>
      </c>
      <c r="E36" s="117"/>
      <c r="F36" s="50"/>
      <c r="G36" s="155"/>
      <c r="H36" s="148"/>
      <c r="K36" s="45" t="s">
        <v>209</v>
      </c>
      <c r="L36" s="36" t="s">
        <v>17</v>
      </c>
      <c r="M36" s="12"/>
      <c r="N36" s="154"/>
      <c r="R36" s="11"/>
      <c r="S36" s="12"/>
      <c r="T36" s="153"/>
      <c r="U36" s="148"/>
      <c r="V36" s="148"/>
      <c r="W36" s="148"/>
      <c r="X36" s="148"/>
    </row>
    <row r="37" spans="1:24" ht="18" customHeight="1" thickBot="1">
      <c r="B37" s="113"/>
      <c r="C37" s="114"/>
      <c r="D37" s="152"/>
      <c r="E37" s="125"/>
      <c r="F37" s="114"/>
      <c r="G37" s="151"/>
      <c r="H37" s="148"/>
      <c r="K37" s="56"/>
      <c r="L37" s="25"/>
      <c r="M37" s="22"/>
      <c r="N37" s="151"/>
      <c r="R37" s="21"/>
      <c r="S37" s="22"/>
      <c r="T37" s="150"/>
      <c r="U37" s="148"/>
      <c r="V37" s="148"/>
      <c r="W37" s="148"/>
      <c r="X37" s="148"/>
    </row>
    <row r="38" spans="1:24" ht="12" customHeight="1">
      <c r="B38" s="149"/>
      <c r="C38" s="149"/>
      <c r="D38" s="388"/>
      <c r="E38" s="388"/>
      <c r="F38" s="388"/>
      <c r="G38" s="148"/>
      <c r="H38" s="148"/>
      <c r="K38" s="148"/>
      <c r="L38" s="148"/>
      <c r="M38" s="148"/>
      <c r="N38" s="148"/>
      <c r="R38" s="148"/>
      <c r="S38" s="148"/>
      <c r="T38" s="148"/>
      <c r="U38" s="148"/>
      <c r="V38" s="148"/>
      <c r="W38" s="148"/>
      <c r="X38" s="148"/>
    </row>
    <row r="39" spans="1:24" ht="12" customHeight="1">
      <c r="B39" s="1" t="s">
        <v>430</v>
      </c>
    </row>
    <row r="40" spans="1:24" ht="12.75" customHeight="1" thickBot="1"/>
    <row r="41" spans="1:24" ht="13.5" customHeight="1">
      <c r="A41" s="147" t="s">
        <v>429</v>
      </c>
      <c r="B41" s="146"/>
      <c r="C41" s="146"/>
      <c r="D41" s="145"/>
      <c r="F41" s="144" t="s">
        <v>147</v>
      </c>
      <c r="G41" s="143"/>
      <c r="H41" s="143"/>
      <c r="I41" s="116"/>
      <c r="J41" s="386" t="s">
        <v>428</v>
      </c>
      <c r="K41" s="387"/>
      <c r="L41" s="387"/>
      <c r="M41" s="387"/>
      <c r="N41" s="387"/>
      <c r="O41" s="387"/>
      <c r="P41" s="142"/>
      <c r="Q41" s="4"/>
      <c r="R41" s="351" t="s">
        <v>148</v>
      </c>
      <c r="S41" s="354"/>
      <c r="T41" s="355"/>
      <c r="V41" s="12"/>
      <c r="W41" s="126"/>
    </row>
    <row r="42" spans="1:24" ht="13.5" customHeight="1">
      <c r="A42" s="140" t="s">
        <v>427</v>
      </c>
      <c r="B42" s="141" t="s">
        <v>426</v>
      </c>
      <c r="C42" s="141" t="s">
        <v>425</v>
      </c>
      <c r="D42" s="138" t="s">
        <v>424</v>
      </c>
      <c r="F42" s="137"/>
      <c r="G42" s="126"/>
      <c r="H42" s="126"/>
      <c r="I42" s="18"/>
      <c r="J42" s="177"/>
      <c r="K42" s="378" t="s">
        <v>1824</v>
      </c>
      <c r="L42" s="378"/>
      <c r="M42" s="378"/>
      <c r="N42" s="378"/>
      <c r="O42" s="378"/>
      <c r="P42" s="378"/>
      <c r="Q42" s="379"/>
      <c r="R42" s="352"/>
      <c r="S42" s="356"/>
      <c r="T42" s="357"/>
      <c r="V42" s="12"/>
      <c r="W42" s="126"/>
    </row>
    <row r="43" spans="1:24" ht="13.5" customHeight="1">
      <c r="A43" s="140" t="s">
        <v>423</v>
      </c>
      <c r="B43" s="141" t="s">
        <v>422</v>
      </c>
      <c r="C43" s="141" t="s">
        <v>421</v>
      </c>
      <c r="D43" s="138" t="s">
        <v>420</v>
      </c>
      <c r="F43" s="137"/>
      <c r="G43" s="126"/>
      <c r="H43" s="126"/>
      <c r="I43" s="18"/>
      <c r="J43" s="177"/>
      <c r="K43" s="378"/>
      <c r="L43" s="378"/>
      <c r="M43" s="378"/>
      <c r="N43" s="378"/>
      <c r="O43" s="378"/>
      <c r="P43" s="378"/>
      <c r="Q43" s="379"/>
      <c r="R43" s="352"/>
      <c r="S43" s="356"/>
      <c r="T43" s="357"/>
      <c r="V43" s="12"/>
      <c r="W43" s="126"/>
    </row>
    <row r="44" spans="1:24" ht="13.5" customHeight="1">
      <c r="A44" s="140" t="s">
        <v>419</v>
      </c>
      <c r="B44" s="141" t="s">
        <v>418</v>
      </c>
      <c r="C44" s="141" t="s">
        <v>417</v>
      </c>
      <c r="D44" s="138" t="s">
        <v>416</v>
      </c>
      <c r="F44" s="137"/>
      <c r="G44" s="126"/>
      <c r="H44" s="126"/>
      <c r="I44" s="18"/>
      <c r="J44" s="177"/>
      <c r="K44" s="378"/>
      <c r="L44" s="378"/>
      <c r="M44" s="378"/>
      <c r="N44" s="378"/>
      <c r="O44" s="378"/>
      <c r="P44" s="378"/>
      <c r="Q44" s="379"/>
      <c r="R44" s="353"/>
      <c r="S44" s="358"/>
      <c r="T44" s="359"/>
      <c r="V44" s="12"/>
      <c r="W44" s="126"/>
    </row>
    <row r="45" spans="1:24" ht="13.5" customHeight="1">
      <c r="A45" s="140" t="s">
        <v>415</v>
      </c>
      <c r="B45" s="139" t="s">
        <v>414</v>
      </c>
      <c r="C45" s="139" t="s">
        <v>413</v>
      </c>
      <c r="D45" s="138" t="s">
        <v>412</v>
      </c>
      <c r="F45" s="137"/>
      <c r="G45" s="126"/>
      <c r="H45" s="126"/>
      <c r="I45" s="18"/>
      <c r="J45" s="177"/>
      <c r="K45" s="378" t="e">
        <f>VLOOKUP(AA2,#REF!,11,0)</f>
        <v>#REF!</v>
      </c>
      <c r="L45" s="378"/>
      <c r="M45" s="378"/>
      <c r="N45" s="378"/>
      <c r="O45" s="378"/>
      <c r="P45" s="378"/>
      <c r="Q45" s="379"/>
      <c r="R45" s="375" t="s">
        <v>152</v>
      </c>
      <c r="S45" s="339" t="s">
        <v>408</v>
      </c>
      <c r="T45" s="136"/>
      <c r="V45" s="12"/>
      <c r="W45" s="126"/>
    </row>
    <row r="46" spans="1:24" ht="13.5" customHeight="1" thickBot="1">
      <c r="A46" s="135" t="s">
        <v>411</v>
      </c>
      <c r="B46" s="134"/>
      <c r="C46" s="133"/>
      <c r="D46" s="132"/>
      <c r="F46" s="383" t="s">
        <v>410</v>
      </c>
      <c r="G46" s="384"/>
      <c r="H46" s="384"/>
      <c r="I46" s="385"/>
      <c r="J46" s="177"/>
      <c r="K46" s="378"/>
      <c r="L46" s="378"/>
      <c r="M46" s="378"/>
      <c r="N46" s="378"/>
      <c r="O46" s="378"/>
      <c r="P46" s="378"/>
      <c r="Q46" s="379"/>
      <c r="R46" s="353"/>
      <c r="S46" s="344"/>
      <c r="T46" s="131"/>
      <c r="V46" s="12"/>
      <c r="W46" s="126"/>
    </row>
    <row r="47" spans="1:24" ht="10.5" customHeight="1">
      <c r="A47" s="176"/>
      <c r="B47" s="176"/>
      <c r="C47" s="176"/>
      <c r="D47" s="176"/>
      <c r="F47" s="369" t="s">
        <v>409</v>
      </c>
      <c r="G47" s="371" t="s">
        <v>259</v>
      </c>
      <c r="H47" s="371"/>
      <c r="I47" s="372"/>
      <c r="J47" s="177"/>
      <c r="K47" s="378"/>
      <c r="L47" s="378"/>
      <c r="M47" s="378"/>
      <c r="N47" s="378"/>
      <c r="O47" s="378"/>
      <c r="P47" s="378"/>
      <c r="Q47" s="379"/>
      <c r="R47" s="375" t="s">
        <v>157</v>
      </c>
      <c r="S47" s="376" t="s">
        <v>455</v>
      </c>
      <c r="T47" s="99"/>
      <c r="V47" s="12"/>
      <c r="W47" s="126"/>
    </row>
    <row r="48" spans="1:24" ht="9.75" customHeight="1">
      <c r="F48" s="370"/>
      <c r="G48" s="373"/>
      <c r="H48" s="373"/>
      <c r="I48" s="374"/>
      <c r="J48" s="177"/>
      <c r="K48" s="378" t="e">
        <f>VLOOKUP(AA2,#REF!,13,0)</f>
        <v>#REF!</v>
      </c>
      <c r="L48" s="378"/>
      <c r="M48" s="378"/>
      <c r="N48" s="378"/>
      <c r="O48" s="378"/>
      <c r="P48" s="378"/>
      <c r="Q48" s="379"/>
      <c r="R48" s="353"/>
      <c r="S48" s="377"/>
      <c r="T48" s="131"/>
      <c r="V48" s="12"/>
      <c r="W48" s="126"/>
    </row>
    <row r="49" spans="6:23" ht="24" customHeight="1" thickBot="1">
      <c r="F49" s="130" t="s">
        <v>261</v>
      </c>
      <c r="G49" s="397" t="s">
        <v>262</v>
      </c>
      <c r="H49" s="398"/>
      <c r="I49" s="399"/>
      <c r="J49" s="178"/>
      <c r="K49" s="380"/>
      <c r="L49" s="380"/>
      <c r="M49" s="380"/>
      <c r="N49" s="380"/>
      <c r="O49" s="380"/>
      <c r="P49" s="380"/>
      <c r="Q49" s="381"/>
      <c r="R49" s="129" t="s">
        <v>160</v>
      </c>
      <c r="S49" s="128" t="s">
        <v>407</v>
      </c>
      <c r="T49" s="127"/>
      <c r="V49" s="12"/>
      <c r="W49" s="126"/>
    </row>
  </sheetData>
  <mergeCells count="58">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978</v>
      </c>
      <c r="B1" s="96" t="s">
        <v>301</v>
      </c>
      <c r="C1" s="96" t="s">
        <v>995</v>
      </c>
      <c r="D1" s="96" t="s">
        <v>502</v>
      </c>
    </row>
    <row r="2" spans="1:4">
      <c r="A2" s="96" t="s">
        <v>979</v>
      </c>
      <c r="B2" s="96" t="s">
        <v>302</v>
      </c>
      <c r="C2" s="96" t="s">
        <v>996</v>
      </c>
      <c r="D2" s="96" t="s">
        <v>476</v>
      </c>
    </row>
    <row r="3" spans="1:4">
      <c r="A3" s="96" t="s">
        <v>980</v>
      </c>
      <c r="B3" s="96" t="s">
        <v>303</v>
      </c>
      <c r="C3" s="96" t="s">
        <v>997</v>
      </c>
      <c r="D3" s="96" t="s">
        <v>492</v>
      </c>
    </row>
    <row r="4" spans="1:4">
      <c r="A4" s="96" t="s">
        <v>981</v>
      </c>
      <c r="B4" s="96" t="s">
        <v>304</v>
      </c>
      <c r="C4" s="96" t="s">
        <v>998</v>
      </c>
      <c r="D4" s="96" t="s">
        <v>491</v>
      </c>
    </row>
    <row r="5" spans="1:4">
      <c r="A5" s="96" t="s">
        <v>485</v>
      </c>
      <c r="B5" s="195" t="s">
        <v>1017</v>
      </c>
      <c r="C5" s="96" t="s">
        <v>999</v>
      </c>
      <c r="D5" s="96" t="s">
        <v>490</v>
      </c>
    </row>
    <row r="6" spans="1:4">
      <c r="A6" s="96" t="s">
        <v>468</v>
      </c>
      <c r="B6" s="96" t="s">
        <v>281</v>
      </c>
      <c r="C6" s="96" t="s">
        <v>1000</v>
      </c>
      <c r="D6" s="96" t="s">
        <v>493</v>
      </c>
    </row>
    <row r="7" spans="1:4">
      <c r="A7" s="96" t="s">
        <v>982</v>
      </c>
      <c r="B7" s="96" t="s">
        <v>1018</v>
      </c>
      <c r="C7" s="96" t="s">
        <v>1001</v>
      </c>
      <c r="D7" s="96" t="s">
        <v>494</v>
      </c>
    </row>
    <row r="8" spans="1:4">
      <c r="A8" s="96" t="s">
        <v>983</v>
      </c>
      <c r="B8" s="96" t="s">
        <v>1019</v>
      </c>
      <c r="C8" s="96" t="s">
        <v>1002</v>
      </c>
      <c r="D8" s="96" t="s">
        <v>495</v>
      </c>
    </row>
    <row r="9" spans="1:4">
      <c r="A9" s="96" t="s">
        <v>984</v>
      </c>
      <c r="B9" s="96" t="s">
        <v>1020</v>
      </c>
      <c r="C9" s="96" t="s">
        <v>1003</v>
      </c>
      <c r="D9" s="195" t="s">
        <v>1032</v>
      </c>
    </row>
    <row r="10" spans="1:4">
      <c r="A10" s="96" t="s">
        <v>461</v>
      </c>
      <c r="B10" s="96" t="s">
        <v>1021</v>
      </c>
      <c r="C10" s="96" t="s">
        <v>1004</v>
      </c>
      <c r="D10" s="96" t="s">
        <v>277</v>
      </c>
    </row>
    <row r="11" spans="1:4">
      <c r="A11" s="96" t="s">
        <v>985</v>
      </c>
      <c r="B11" s="96" t="s">
        <v>1022</v>
      </c>
      <c r="C11" s="195" t="s">
        <v>1005</v>
      </c>
      <c r="D11" s="96" t="s">
        <v>278</v>
      </c>
    </row>
    <row r="12" spans="1:4">
      <c r="A12" s="96" t="s">
        <v>501</v>
      </c>
      <c r="B12" s="96" t="s">
        <v>1023</v>
      </c>
      <c r="C12" s="195" t="s">
        <v>1006</v>
      </c>
      <c r="D12" s="195" t="s">
        <v>1033</v>
      </c>
    </row>
    <row r="13" spans="1:4">
      <c r="A13" s="96" t="s">
        <v>471</v>
      </c>
      <c r="B13" s="96" t="s">
        <v>1024</v>
      </c>
      <c r="C13" s="195" t="s">
        <v>1007</v>
      </c>
      <c r="D13" s="195" t="s">
        <v>1034</v>
      </c>
    </row>
    <row r="14" spans="1:4">
      <c r="A14" s="96" t="s">
        <v>470</v>
      </c>
      <c r="B14" s="96" t="s">
        <v>272</v>
      </c>
      <c r="C14" s="96" t="s">
        <v>500</v>
      </c>
      <c r="D14" s="195" t="s">
        <v>1035</v>
      </c>
    </row>
    <row r="15" spans="1:4">
      <c r="A15" s="96" t="s">
        <v>486</v>
      </c>
      <c r="B15" s="96" t="s">
        <v>273</v>
      </c>
      <c r="C15" s="96" t="s">
        <v>496</v>
      </c>
      <c r="D15" s="96" t="s">
        <v>480</v>
      </c>
    </row>
    <row r="16" spans="1:4">
      <c r="A16" s="96" t="s">
        <v>482</v>
      </c>
      <c r="B16" s="96" t="s">
        <v>274</v>
      </c>
      <c r="C16" s="96" t="s">
        <v>1008</v>
      </c>
      <c r="D16" s="96" t="s">
        <v>1036</v>
      </c>
    </row>
    <row r="17" spans="1:4">
      <c r="A17" s="96" t="s">
        <v>504</v>
      </c>
      <c r="B17" s="96" t="s">
        <v>275</v>
      </c>
      <c r="C17" s="96" t="s">
        <v>1009</v>
      </c>
      <c r="D17" s="96" t="s">
        <v>1037</v>
      </c>
    </row>
    <row r="18" spans="1:4">
      <c r="A18" s="96" t="s">
        <v>986</v>
      </c>
      <c r="B18" s="96" t="s">
        <v>276</v>
      </c>
      <c r="C18" s="96" t="s">
        <v>1010</v>
      </c>
      <c r="D18" s="96" t="s">
        <v>483</v>
      </c>
    </row>
    <row r="19" spans="1:4">
      <c r="A19" s="195" t="s">
        <v>987</v>
      </c>
      <c r="B19" s="96" t="s">
        <v>478</v>
      </c>
      <c r="C19" s="96" t="s">
        <v>1011</v>
      </c>
      <c r="D19" s="96" t="s">
        <v>484</v>
      </c>
    </row>
    <row r="20" spans="1:4">
      <c r="A20" s="96" t="s">
        <v>459</v>
      </c>
      <c r="B20" s="96" t="s">
        <v>1025</v>
      </c>
      <c r="C20" s="96" t="s">
        <v>472</v>
      </c>
      <c r="D20" s="195" t="s">
        <v>1038</v>
      </c>
    </row>
    <row r="21" spans="1:4">
      <c r="A21" s="96" t="s">
        <v>988</v>
      </c>
      <c r="B21" s="96" t="s">
        <v>1026</v>
      </c>
      <c r="C21" s="195" t="s">
        <v>1012</v>
      </c>
      <c r="D21" s="195" t="s">
        <v>1039</v>
      </c>
    </row>
    <row r="22" spans="1:4">
      <c r="A22" s="96" t="s">
        <v>989</v>
      </c>
      <c r="B22" s="96" t="s">
        <v>488</v>
      </c>
      <c r="C22" s="96" t="s">
        <v>473</v>
      </c>
      <c r="D22" s="96" t="s">
        <v>477</v>
      </c>
    </row>
    <row r="23" spans="1:4">
      <c r="A23" s="96" t="s">
        <v>990</v>
      </c>
      <c r="B23" s="96" t="s">
        <v>1027</v>
      </c>
      <c r="C23" s="195" t="s">
        <v>1013</v>
      </c>
      <c r="D23" s="96" t="s">
        <v>1040</v>
      </c>
    </row>
    <row r="24" spans="1:4">
      <c r="A24" s="96" t="s">
        <v>469</v>
      </c>
      <c r="B24" s="195" t="s">
        <v>1028</v>
      </c>
      <c r="C24" s="96" t="s">
        <v>474</v>
      </c>
      <c r="D24" s="96" t="s">
        <v>1041</v>
      </c>
    </row>
    <row r="25" spans="1:4">
      <c r="A25" s="96" t="s">
        <v>479</v>
      </c>
      <c r="B25" s="96" t="s">
        <v>279</v>
      </c>
      <c r="C25" s="96" t="s">
        <v>497</v>
      </c>
      <c r="D25" s="96" t="s">
        <v>1042</v>
      </c>
    </row>
    <row r="26" spans="1:4">
      <c r="A26" s="96" t="s">
        <v>460</v>
      </c>
      <c r="B26" s="195" t="s">
        <v>1029</v>
      </c>
      <c r="C26" s="195" t="s">
        <v>1014</v>
      </c>
      <c r="D26" s="96" t="s">
        <v>1043</v>
      </c>
    </row>
    <row r="27" spans="1:4">
      <c r="A27" s="96" t="s">
        <v>991</v>
      </c>
      <c r="B27" s="96" t="s">
        <v>1030</v>
      </c>
      <c r="C27" s="195" t="s">
        <v>1015</v>
      </c>
      <c r="D27" s="96" t="s">
        <v>1044</v>
      </c>
    </row>
    <row r="28" spans="1:4">
      <c r="A28" s="96" t="s">
        <v>992</v>
      </c>
      <c r="B28" s="96" t="s">
        <v>1031</v>
      </c>
      <c r="C28" s="96" t="s">
        <v>489</v>
      </c>
      <c r="D28" s="96" t="s">
        <v>481</v>
      </c>
    </row>
    <row r="29" spans="1:4">
      <c r="A29" s="96" t="s">
        <v>993</v>
      </c>
      <c r="B29" s="96" t="s">
        <v>487</v>
      </c>
      <c r="C29" s="96" t="s">
        <v>1016</v>
      </c>
      <c r="D29" s="96" t="s">
        <v>1045</v>
      </c>
    </row>
    <row r="30" spans="1:4">
      <c r="A30" s="96" t="s">
        <v>994</v>
      </c>
      <c r="B30" s="96" t="s">
        <v>475</v>
      </c>
      <c r="C30" s="96" t="s">
        <v>280</v>
      </c>
      <c r="D30" s="96" t="s">
        <v>1046</v>
      </c>
    </row>
    <row r="31" spans="1:4">
      <c r="D31" s="195" t="s">
        <v>1047</v>
      </c>
    </row>
    <row r="32" spans="1:4">
      <c r="D32" s="195" t="s">
        <v>1048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7.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42"/>
  </cols>
  <sheetData>
    <row r="1" spans="1:6" ht="42" customHeight="1">
      <c r="A1" s="243" t="s">
        <v>282</v>
      </c>
      <c r="B1" s="243" t="s">
        <v>283</v>
      </c>
      <c r="C1" s="243"/>
      <c r="D1" s="243" t="s">
        <v>516</v>
      </c>
      <c r="E1" s="243" t="s">
        <v>166</v>
      </c>
      <c r="F1" s="243" t="s">
        <v>182</v>
      </c>
    </row>
    <row r="3" spans="1:6" ht="42" customHeight="1">
      <c r="A3" s="243" t="s">
        <v>243</v>
      </c>
      <c r="B3" s="243" t="s">
        <v>167</v>
      </c>
      <c r="C3" s="243" t="s">
        <v>244</v>
      </c>
      <c r="D3" s="243" t="s">
        <v>168</v>
      </c>
      <c r="E3" s="243" t="s">
        <v>498</v>
      </c>
      <c r="F3" s="243" t="s">
        <v>499</v>
      </c>
    </row>
    <row r="5" spans="1:6" ht="42" customHeight="1">
      <c r="A5" s="243" t="s">
        <v>305</v>
      </c>
      <c r="B5" s="243" t="s">
        <v>306</v>
      </c>
      <c r="C5" s="243" t="s">
        <v>307</v>
      </c>
      <c r="D5" s="243" t="s">
        <v>399</v>
      </c>
      <c r="E5" s="243" t="s">
        <v>1190</v>
      </c>
      <c r="F5" s="244" t="s">
        <v>1189</v>
      </c>
    </row>
    <row r="7" spans="1:6" ht="42" customHeight="1">
      <c r="A7" s="243" t="s">
        <v>1191</v>
      </c>
      <c r="B7" s="243" t="s">
        <v>1192</v>
      </c>
      <c r="C7" s="243" t="s">
        <v>1193</v>
      </c>
      <c r="D7" s="243" t="s">
        <v>1194</v>
      </c>
      <c r="E7" s="243" t="s">
        <v>1195</v>
      </c>
      <c r="F7" s="243" t="s">
        <v>1196</v>
      </c>
    </row>
    <row r="9" spans="1:6" ht="42" customHeight="1">
      <c r="A9" s="245" t="s">
        <v>1197</v>
      </c>
      <c r="B9" s="245" t="s">
        <v>1086</v>
      </c>
      <c r="C9" s="243" t="s">
        <v>514</v>
      </c>
      <c r="D9" s="243" t="s">
        <v>1186</v>
      </c>
      <c r="E9" s="243" t="s">
        <v>515</v>
      </c>
      <c r="F9" s="243" t="s">
        <v>1174</v>
      </c>
    </row>
    <row r="11" spans="1:6" ht="42" customHeight="1">
      <c r="A11" s="243" t="s">
        <v>1185</v>
      </c>
      <c r="B11" s="243" t="s">
        <v>1753</v>
      </c>
      <c r="C11" s="243" t="s">
        <v>1738</v>
      </c>
      <c r="D11" s="243" t="s">
        <v>1739</v>
      </c>
      <c r="E11" s="243" t="s">
        <v>1740</v>
      </c>
      <c r="F11" s="243" t="s">
        <v>1741</v>
      </c>
    </row>
    <row r="13" spans="1:6" ht="42" customHeight="1">
      <c r="A13" s="243" t="s">
        <v>1742</v>
      </c>
      <c r="B13" s="243" t="s">
        <v>1743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sheetPr codeName="Sheet9"/>
  <dimension ref="A1:AJ156"/>
  <sheetViews>
    <sheetView zoomScale="85" zoomScaleNormal="85" workbookViewId="0">
      <selection activeCell="C13" sqref="C13"/>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16384" width="9" style="199"/>
  </cols>
  <sheetData>
    <row r="1" spans="1:36"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1822</v>
      </c>
      <c r="R1" s="197" t="s">
        <v>1823</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row>
    <row r="2" spans="1:36" ht="22.5">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08" t="s">
        <v>1769</v>
      </c>
      <c r="P2" s="205" t="s">
        <v>1224</v>
      </c>
      <c r="Q2" s="205" t="s">
        <v>1205</v>
      </c>
      <c r="R2" s="205" t="s">
        <v>1769</v>
      </c>
      <c r="S2" s="205" t="s">
        <v>1180</v>
      </c>
      <c r="T2" s="205" t="s">
        <v>456</v>
      </c>
      <c r="U2" s="206" t="s">
        <v>1769</v>
      </c>
      <c r="V2" s="206" t="s">
        <v>1769</v>
      </c>
      <c r="W2" s="205" t="s">
        <v>1769</v>
      </c>
      <c r="X2" s="205" t="s">
        <v>1769</v>
      </c>
      <c r="Y2" s="208" t="s">
        <v>1769</v>
      </c>
      <c r="Z2" s="205" t="s">
        <v>254</v>
      </c>
      <c r="AA2" s="205" t="s">
        <v>1769</v>
      </c>
      <c r="AB2" s="205" t="s">
        <v>254</v>
      </c>
      <c r="AC2" s="205" t="s">
        <v>457</v>
      </c>
      <c r="AD2" s="205" t="s">
        <v>323</v>
      </c>
      <c r="AE2" s="246" t="s">
        <v>1769</v>
      </c>
      <c r="AF2" s="246">
        <v>594200</v>
      </c>
      <c r="AG2" s="246">
        <v>652800</v>
      </c>
      <c r="AH2" s="246" t="s">
        <v>1769</v>
      </c>
      <c r="AI2" s="246" t="s">
        <v>1769</v>
      </c>
      <c r="AJ2" s="246" t="s">
        <v>1769</v>
      </c>
    </row>
    <row r="3" spans="1:36">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64" t="s">
        <v>1769</v>
      </c>
      <c r="P3" s="209" t="s">
        <v>1224</v>
      </c>
      <c r="Q3" s="205" t="s">
        <v>1205</v>
      </c>
      <c r="R3" s="211" t="s">
        <v>1769</v>
      </c>
      <c r="S3" s="205" t="s">
        <v>1180</v>
      </c>
      <c r="T3" s="210" t="s">
        <v>1226</v>
      </c>
      <c r="U3" s="206" t="s">
        <v>1769</v>
      </c>
      <c r="V3" s="206" t="s">
        <v>1769</v>
      </c>
      <c r="W3" s="205" t="s">
        <v>1769</v>
      </c>
      <c r="X3" s="205" t="s">
        <v>1769</v>
      </c>
      <c r="Y3" s="208" t="s">
        <v>1769</v>
      </c>
      <c r="Z3" s="205" t="s">
        <v>254</v>
      </c>
      <c r="AA3" s="205" t="s">
        <v>1769</v>
      </c>
      <c r="AB3" s="205" t="s">
        <v>254</v>
      </c>
      <c r="AC3" s="205" t="s">
        <v>163</v>
      </c>
      <c r="AD3" s="209" t="s">
        <v>323</v>
      </c>
      <c r="AE3" s="246" t="s">
        <v>1769</v>
      </c>
      <c r="AF3" s="246">
        <v>911100</v>
      </c>
      <c r="AG3" s="246">
        <v>943200</v>
      </c>
      <c r="AH3" s="246" t="s">
        <v>1769</v>
      </c>
      <c r="AI3" s="246" t="s">
        <v>1769</v>
      </c>
      <c r="AJ3" s="246" t="s">
        <v>1769</v>
      </c>
    </row>
    <row r="4" spans="1:36">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462</v>
      </c>
      <c r="M4" s="206" t="s">
        <v>1773</v>
      </c>
      <c r="N4" s="181">
        <v>42496</v>
      </c>
      <c r="O4" s="212">
        <v>206010</v>
      </c>
      <c r="P4" s="205" t="s">
        <v>1224</v>
      </c>
      <c r="Q4" s="205" t="s">
        <v>1205</v>
      </c>
      <c r="R4" s="205" t="s">
        <v>1769</v>
      </c>
      <c r="S4" s="205" t="s">
        <v>1180</v>
      </c>
      <c r="T4" s="205" t="s">
        <v>179</v>
      </c>
      <c r="U4" s="205" t="s">
        <v>1769</v>
      </c>
      <c r="V4" s="205" t="s">
        <v>1769</v>
      </c>
      <c r="W4" s="205" t="s">
        <v>1769</v>
      </c>
      <c r="X4" s="205" t="s">
        <v>1769</v>
      </c>
      <c r="Y4" s="212" t="s">
        <v>1769</v>
      </c>
      <c r="Z4" s="205" t="s">
        <v>254</v>
      </c>
      <c r="AA4" s="205" t="s">
        <v>1769</v>
      </c>
      <c r="AB4" s="205" t="s">
        <v>254</v>
      </c>
      <c r="AC4" s="205" t="s">
        <v>163</v>
      </c>
      <c r="AD4" s="209" t="s">
        <v>323</v>
      </c>
      <c r="AE4" s="246" t="s">
        <v>1769</v>
      </c>
      <c r="AF4" s="246">
        <v>234900</v>
      </c>
      <c r="AG4" s="246">
        <v>244200</v>
      </c>
      <c r="AH4" s="246" t="s">
        <v>1769</v>
      </c>
      <c r="AI4" s="246" t="s">
        <v>1769</v>
      </c>
      <c r="AJ4" s="246" t="s">
        <v>1769</v>
      </c>
    </row>
    <row r="5" spans="1:36">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462</v>
      </c>
      <c r="M5" s="206" t="s">
        <v>1773</v>
      </c>
      <c r="N5" s="181">
        <v>42496</v>
      </c>
      <c r="O5" s="208">
        <v>194250</v>
      </c>
      <c r="P5" s="209" t="s">
        <v>1224</v>
      </c>
      <c r="Q5" s="205" t="s">
        <v>1205</v>
      </c>
      <c r="R5" s="211" t="s">
        <v>1769</v>
      </c>
      <c r="S5" s="205" t="s">
        <v>1180</v>
      </c>
      <c r="T5" s="205" t="s">
        <v>1226</v>
      </c>
      <c r="U5" s="206" t="s">
        <v>1769</v>
      </c>
      <c r="V5" s="206" t="s">
        <v>1769</v>
      </c>
      <c r="W5" s="205" t="s">
        <v>1769</v>
      </c>
      <c r="X5" s="205" t="s">
        <v>1769</v>
      </c>
      <c r="Y5" s="208" t="s">
        <v>1769</v>
      </c>
      <c r="Z5" s="205" t="s">
        <v>254</v>
      </c>
      <c r="AA5" s="205" t="s">
        <v>1769</v>
      </c>
      <c r="AB5" s="205" t="s">
        <v>254</v>
      </c>
      <c r="AC5" s="205" t="s">
        <v>163</v>
      </c>
      <c r="AD5" s="209" t="s">
        <v>323</v>
      </c>
      <c r="AE5" s="246" t="s">
        <v>1769</v>
      </c>
      <c r="AF5" s="246">
        <v>544900</v>
      </c>
      <c r="AG5" s="246">
        <v>561300</v>
      </c>
      <c r="AH5" s="246" t="s">
        <v>1769</v>
      </c>
      <c r="AI5" s="246" t="s">
        <v>1769</v>
      </c>
      <c r="AJ5" s="246" t="s">
        <v>1769</v>
      </c>
    </row>
    <row r="6" spans="1:36"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462</v>
      </c>
      <c r="M6" s="205" t="s">
        <v>1774</v>
      </c>
      <c r="N6" s="181" t="s">
        <v>1242</v>
      </c>
      <c r="O6" s="212">
        <v>234360</v>
      </c>
      <c r="P6" s="205" t="s">
        <v>1224</v>
      </c>
      <c r="Q6" s="205" t="s">
        <v>1205</v>
      </c>
      <c r="R6" s="211" t="s">
        <v>565</v>
      </c>
      <c r="S6" s="205" t="s">
        <v>1180</v>
      </c>
      <c r="T6" s="205" t="s">
        <v>1769</v>
      </c>
      <c r="U6" s="205" t="s">
        <v>1769</v>
      </c>
      <c r="V6" s="205" t="s">
        <v>1769</v>
      </c>
      <c r="W6" s="205" t="s">
        <v>1769</v>
      </c>
      <c r="X6" s="205" t="s">
        <v>1769</v>
      </c>
      <c r="Y6" s="212" t="s">
        <v>1769</v>
      </c>
      <c r="Z6" s="205" t="s">
        <v>254</v>
      </c>
      <c r="AA6" s="205" t="s">
        <v>1769</v>
      </c>
      <c r="AB6" s="205" t="s">
        <v>254</v>
      </c>
      <c r="AC6" s="205" t="s">
        <v>1769</v>
      </c>
      <c r="AD6" s="205" t="s">
        <v>1769</v>
      </c>
      <c r="AE6" s="246">
        <v>200300</v>
      </c>
      <c r="AF6" s="246" t="s">
        <v>1769</v>
      </c>
      <c r="AG6" s="246">
        <v>232200</v>
      </c>
      <c r="AH6" s="246" t="s">
        <v>1769</v>
      </c>
      <c r="AI6" s="246" t="s">
        <v>1769</v>
      </c>
      <c r="AJ6" s="246" t="s">
        <v>1769</v>
      </c>
    </row>
    <row r="7" spans="1:36">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462</v>
      </c>
      <c r="M7" s="205" t="s">
        <v>1775</v>
      </c>
      <c r="N7" s="182">
        <v>42974</v>
      </c>
      <c r="O7" s="212">
        <v>170964</v>
      </c>
      <c r="P7" s="205" t="s">
        <v>1224</v>
      </c>
      <c r="Q7" s="205" t="s">
        <v>1205</v>
      </c>
      <c r="R7" s="205" t="s">
        <v>1769</v>
      </c>
      <c r="S7" s="205" t="s">
        <v>1180</v>
      </c>
      <c r="T7" s="205" t="s">
        <v>1769</v>
      </c>
      <c r="U7" s="205" t="s">
        <v>1769</v>
      </c>
      <c r="V7" s="205" t="s">
        <v>1769</v>
      </c>
      <c r="W7" s="205" t="s">
        <v>1769</v>
      </c>
      <c r="X7" s="205" t="s">
        <v>1769</v>
      </c>
      <c r="Y7" s="212" t="s">
        <v>1769</v>
      </c>
      <c r="Z7" s="205" t="s">
        <v>254</v>
      </c>
      <c r="AA7" s="205" t="s">
        <v>1769</v>
      </c>
      <c r="AB7" s="205" t="s">
        <v>254</v>
      </c>
      <c r="AC7" s="205" t="s">
        <v>1769</v>
      </c>
      <c r="AD7" s="205" t="s">
        <v>1769</v>
      </c>
      <c r="AE7" s="246" t="s">
        <v>1769</v>
      </c>
      <c r="AF7" s="246">
        <v>689400</v>
      </c>
      <c r="AG7" s="246">
        <v>760100</v>
      </c>
      <c r="AH7" s="246" t="s">
        <v>1769</v>
      </c>
      <c r="AI7" s="246" t="s">
        <v>1769</v>
      </c>
      <c r="AJ7" s="246" t="s">
        <v>1769</v>
      </c>
    </row>
    <row r="8" spans="1:36"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66" t="s">
        <v>1770</v>
      </c>
      <c r="M8" s="205" t="s">
        <v>1769</v>
      </c>
      <c r="N8" s="205" t="s">
        <v>1769</v>
      </c>
      <c r="O8" s="212" t="s">
        <v>1769</v>
      </c>
      <c r="P8" s="205" t="s">
        <v>1224</v>
      </c>
      <c r="Q8" s="205" t="s">
        <v>1205</v>
      </c>
      <c r="R8" s="205" t="s">
        <v>1769</v>
      </c>
      <c r="S8" s="205" t="s">
        <v>1180</v>
      </c>
      <c r="T8" s="205" t="s">
        <v>1769</v>
      </c>
      <c r="U8" s="205" t="s">
        <v>1769</v>
      </c>
      <c r="V8" s="205" t="s">
        <v>1769</v>
      </c>
      <c r="W8" s="205" t="s">
        <v>1769</v>
      </c>
      <c r="X8" s="205" t="s">
        <v>1769</v>
      </c>
      <c r="Y8" s="212" t="s">
        <v>1769</v>
      </c>
      <c r="Z8" s="205" t="s">
        <v>254</v>
      </c>
      <c r="AA8" s="205" t="s">
        <v>1769</v>
      </c>
      <c r="AB8" s="205" t="s">
        <v>254</v>
      </c>
      <c r="AC8" s="205" t="s">
        <v>1769</v>
      </c>
      <c r="AD8" s="205" t="s">
        <v>1769</v>
      </c>
      <c r="AE8" s="246">
        <v>96700</v>
      </c>
      <c r="AF8" s="246">
        <v>115700</v>
      </c>
      <c r="AG8" s="246" t="s">
        <v>1769</v>
      </c>
      <c r="AH8" s="246" t="s">
        <v>1769</v>
      </c>
      <c r="AI8" s="246" t="s">
        <v>1769</v>
      </c>
      <c r="AJ8" s="246" t="s">
        <v>1769</v>
      </c>
    </row>
    <row r="9" spans="1:36">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462</v>
      </c>
      <c r="M9" s="206" t="s">
        <v>1773</v>
      </c>
      <c r="N9" s="181">
        <v>42709</v>
      </c>
      <c r="O9" s="212">
        <v>132930</v>
      </c>
      <c r="P9" s="205" t="s">
        <v>1224</v>
      </c>
      <c r="Q9" s="205" t="s">
        <v>1205</v>
      </c>
      <c r="R9" s="205" t="s">
        <v>1769</v>
      </c>
      <c r="S9" s="205" t="s">
        <v>1180</v>
      </c>
      <c r="T9" s="205" t="s">
        <v>1769</v>
      </c>
      <c r="U9" s="205" t="s">
        <v>1769</v>
      </c>
      <c r="V9" s="205" t="s">
        <v>1769</v>
      </c>
      <c r="W9" s="205" t="s">
        <v>1769</v>
      </c>
      <c r="X9" s="205" t="s">
        <v>1769</v>
      </c>
      <c r="Y9" s="212" t="s">
        <v>1769</v>
      </c>
      <c r="Z9" s="205" t="s">
        <v>254</v>
      </c>
      <c r="AA9" s="205" t="s">
        <v>1769</v>
      </c>
      <c r="AB9" s="205" t="s">
        <v>254</v>
      </c>
      <c r="AC9" s="205" t="s">
        <v>1769</v>
      </c>
      <c r="AD9" s="205" t="s">
        <v>1769</v>
      </c>
      <c r="AE9" s="246">
        <v>456400</v>
      </c>
      <c r="AF9" s="246">
        <v>585100</v>
      </c>
      <c r="AG9" s="246" t="s">
        <v>1769</v>
      </c>
      <c r="AH9" s="246" t="s">
        <v>1769</v>
      </c>
      <c r="AI9" s="246" t="s">
        <v>1769</v>
      </c>
      <c r="AJ9" s="246" t="s">
        <v>1769</v>
      </c>
    </row>
    <row r="10" spans="1:36"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462</v>
      </c>
      <c r="M10" s="206" t="s">
        <v>1776</v>
      </c>
      <c r="N10" s="181">
        <v>42183</v>
      </c>
      <c r="O10" s="208">
        <v>38772</v>
      </c>
      <c r="P10" s="209" t="s">
        <v>1224</v>
      </c>
      <c r="Q10" s="205" t="s">
        <v>1205</v>
      </c>
      <c r="R10" s="205" t="s">
        <v>1769</v>
      </c>
      <c r="S10" s="205" t="s">
        <v>1180</v>
      </c>
      <c r="T10" s="205" t="s">
        <v>1254</v>
      </c>
      <c r="U10" s="206" t="s">
        <v>1769</v>
      </c>
      <c r="V10" s="206" t="s">
        <v>1769</v>
      </c>
      <c r="W10" s="205" t="s">
        <v>1769</v>
      </c>
      <c r="X10" s="205" t="s">
        <v>1769</v>
      </c>
      <c r="Y10" s="208" t="s">
        <v>1769</v>
      </c>
      <c r="Z10" s="205" t="s">
        <v>254</v>
      </c>
      <c r="AA10" s="205" t="s">
        <v>1769</v>
      </c>
      <c r="AB10" s="205" t="s">
        <v>254</v>
      </c>
      <c r="AC10" s="205" t="s">
        <v>163</v>
      </c>
      <c r="AD10" s="209" t="s">
        <v>323</v>
      </c>
      <c r="AE10" s="246" t="s">
        <v>1769</v>
      </c>
      <c r="AF10" s="246">
        <v>147900</v>
      </c>
      <c r="AG10" s="246">
        <v>175200</v>
      </c>
      <c r="AH10" s="246" t="s">
        <v>1769</v>
      </c>
      <c r="AI10" s="246" t="s">
        <v>1769</v>
      </c>
      <c r="AJ10" s="246" t="s">
        <v>1769</v>
      </c>
    </row>
    <row r="11" spans="1:36">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462</v>
      </c>
      <c r="M11" s="206" t="s">
        <v>1776</v>
      </c>
      <c r="N11" s="181">
        <v>42183</v>
      </c>
      <c r="O11" s="208">
        <v>37695</v>
      </c>
      <c r="P11" s="209" t="s">
        <v>1224</v>
      </c>
      <c r="Q11" s="205" t="s">
        <v>1205</v>
      </c>
      <c r="R11" s="211" t="s">
        <v>1769</v>
      </c>
      <c r="S11" s="205" t="s">
        <v>1180</v>
      </c>
      <c r="T11" s="205" t="s">
        <v>1254</v>
      </c>
      <c r="U11" s="206" t="s">
        <v>1769</v>
      </c>
      <c r="V11" s="206" t="s">
        <v>1769</v>
      </c>
      <c r="W11" s="205" t="s">
        <v>1769</v>
      </c>
      <c r="X11" s="205" t="s">
        <v>1769</v>
      </c>
      <c r="Y11" s="208" t="s">
        <v>1769</v>
      </c>
      <c r="Z11" s="205" t="s">
        <v>254</v>
      </c>
      <c r="AA11" s="205" t="s">
        <v>1769</v>
      </c>
      <c r="AB11" s="205" t="s">
        <v>254</v>
      </c>
      <c r="AC11" s="205" t="s">
        <v>163</v>
      </c>
      <c r="AD11" s="209" t="s">
        <v>323</v>
      </c>
      <c r="AE11" s="246" t="s">
        <v>1769</v>
      </c>
      <c r="AF11" s="246">
        <v>162100</v>
      </c>
      <c r="AG11" s="246">
        <v>203300</v>
      </c>
      <c r="AH11" s="246" t="s">
        <v>1769</v>
      </c>
      <c r="AI11" s="246" t="s">
        <v>1769</v>
      </c>
      <c r="AJ11" s="246" t="s">
        <v>1769</v>
      </c>
    </row>
    <row r="12" spans="1:36">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462</v>
      </c>
      <c r="M12" s="205" t="s">
        <v>1775</v>
      </c>
      <c r="N12" s="182">
        <v>42974</v>
      </c>
      <c r="O12" s="212">
        <v>122472</v>
      </c>
      <c r="P12" s="205" t="s">
        <v>1224</v>
      </c>
      <c r="Q12" s="205" t="s">
        <v>1205</v>
      </c>
      <c r="R12" s="205" t="s">
        <v>1769</v>
      </c>
      <c r="S12" s="205" t="s">
        <v>1180</v>
      </c>
      <c r="T12" s="205" t="s">
        <v>1769</v>
      </c>
      <c r="U12" s="205" t="s">
        <v>1769</v>
      </c>
      <c r="V12" s="205" t="s">
        <v>1769</v>
      </c>
      <c r="W12" s="205" t="s">
        <v>1769</v>
      </c>
      <c r="X12" s="205" t="s">
        <v>1769</v>
      </c>
      <c r="Y12" s="212" t="s">
        <v>1769</v>
      </c>
      <c r="Z12" s="205" t="s">
        <v>254</v>
      </c>
      <c r="AA12" s="205" t="s">
        <v>1769</v>
      </c>
      <c r="AB12" s="205" t="s">
        <v>254</v>
      </c>
      <c r="AC12" s="205" t="s">
        <v>1769</v>
      </c>
      <c r="AD12" s="205" t="s">
        <v>1769</v>
      </c>
      <c r="AE12" s="246" t="s">
        <v>1769</v>
      </c>
      <c r="AF12" s="246">
        <v>324000</v>
      </c>
      <c r="AG12" s="246">
        <v>342500</v>
      </c>
      <c r="AH12" s="246" t="s">
        <v>1769</v>
      </c>
      <c r="AI12" s="246" t="s">
        <v>1769</v>
      </c>
      <c r="AJ12" s="246" t="s">
        <v>1769</v>
      </c>
    </row>
    <row r="13" spans="1:36">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20" t="s">
        <v>1769</v>
      </c>
      <c r="P13" s="206" t="s">
        <v>400</v>
      </c>
      <c r="Q13" s="205" t="s">
        <v>1769</v>
      </c>
      <c r="R13" s="205" t="s">
        <v>1769</v>
      </c>
      <c r="S13" s="205" t="s">
        <v>1183</v>
      </c>
      <c r="T13" s="206" t="s">
        <v>1769</v>
      </c>
      <c r="U13" s="205" t="s">
        <v>1769</v>
      </c>
      <c r="V13" s="205" t="s">
        <v>1769</v>
      </c>
      <c r="W13" s="205" t="s">
        <v>1769</v>
      </c>
      <c r="X13" s="205" t="s">
        <v>1769</v>
      </c>
      <c r="Y13" s="221"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row>
    <row r="14" spans="1:36">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6" t="s">
        <v>1091</v>
      </c>
      <c r="M14" s="206" t="s">
        <v>1091</v>
      </c>
      <c r="N14" s="205" t="s">
        <v>1769</v>
      </c>
      <c r="O14" s="220" t="s">
        <v>1769</v>
      </c>
      <c r="P14" s="206" t="s">
        <v>402</v>
      </c>
      <c r="Q14" s="205" t="s">
        <v>1769</v>
      </c>
      <c r="R14" s="205" t="s">
        <v>1769</v>
      </c>
      <c r="S14" s="205" t="s">
        <v>1183</v>
      </c>
      <c r="T14" s="206" t="s">
        <v>1769</v>
      </c>
      <c r="U14" s="205" t="s">
        <v>1769</v>
      </c>
      <c r="V14" s="205" t="s">
        <v>1769</v>
      </c>
      <c r="W14" s="205" t="s">
        <v>1769</v>
      </c>
      <c r="X14" s="205" t="s">
        <v>1769</v>
      </c>
      <c r="Y14" s="221" t="s">
        <v>1090</v>
      </c>
      <c r="Z14" s="205" t="s">
        <v>1769</v>
      </c>
      <c r="AA14" s="205" t="s">
        <v>1736</v>
      </c>
      <c r="AB14" s="205" t="s">
        <v>254</v>
      </c>
      <c r="AC14" s="205" t="s">
        <v>1769</v>
      </c>
      <c r="AD14" s="205" t="s">
        <v>1769</v>
      </c>
      <c r="AE14" s="246" t="s">
        <v>1769</v>
      </c>
      <c r="AF14" s="246" t="s">
        <v>1769</v>
      </c>
      <c r="AG14" s="246" t="s">
        <v>1769</v>
      </c>
      <c r="AH14" s="246" t="s">
        <v>1769</v>
      </c>
      <c r="AI14" s="246" t="s">
        <v>1769</v>
      </c>
      <c r="AJ14" s="246" t="s">
        <v>1769</v>
      </c>
    </row>
    <row r="15" spans="1:36">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08" t="s">
        <v>1769</v>
      </c>
      <c r="P15" s="209" t="s">
        <v>1224</v>
      </c>
      <c r="Q15" s="205" t="s">
        <v>1205</v>
      </c>
      <c r="R15" s="211" t="s">
        <v>1769</v>
      </c>
      <c r="S15" s="205" t="s">
        <v>1177</v>
      </c>
      <c r="T15" s="210" t="s">
        <v>1267</v>
      </c>
      <c r="U15" s="206" t="s">
        <v>1769</v>
      </c>
      <c r="V15" s="206" t="s">
        <v>1769</v>
      </c>
      <c r="W15" s="205" t="s">
        <v>1769</v>
      </c>
      <c r="X15" s="205" t="s">
        <v>1769</v>
      </c>
      <c r="Y15" s="208" t="s">
        <v>1769</v>
      </c>
      <c r="Z15" s="205" t="s">
        <v>254</v>
      </c>
      <c r="AA15" s="205" t="s">
        <v>1769</v>
      </c>
      <c r="AB15" s="205" t="s">
        <v>254</v>
      </c>
      <c r="AC15" s="205" t="s">
        <v>163</v>
      </c>
      <c r="AD15" s="209" t="s">
        <v>323</v>
      </c>
      <c r="AE15" s="246" t="s">
        <v>1769</v>
      </c>
      <c r="AF15" s="246">
        <v>442900</v>
      </c>
      <c r="AG15" s="246">
        <v>467600</v>
      </c>
      <c r="AH15" s="246" t="s">
        <v>1769</v>
      </c>
      <c r="AI15" s="246" t="s">
        <v>1769</v>
      </c>
      <c r="AJ15" s="246" t="s">
        <v>1769</v>
      </c>
    </row>
    <row r="16" spans="1:36">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08" t="s">
        <v>1769</v>
      </c>
      <c r="P16" s="209" t="s">
        <v>1224</v>
      </c>
      <c r="Q16" s="205" t="s">
        <v>1275</v>
      </c>
      <c r="R16" s="211" t="s">
        <v>1769</v>
      </c>
      <c r="S16" s="205" t="s">
        <v>1177</v>
      </c>
      <c r="T16" s="210" t="s">
        <v>1272</v>
      </c>
      <c r="U16" s="206" t="s">
        <v>1769</v>
      </c>
      <c r="V16" s="206" t="s">
        <v>1769</v>
      </c>
      <c r="W16" s="205" t="s">
        <v>1769</v>
      </c>
      <c r="X16" s="205" t="s">
        <v>1769</v>
      </c>
      <c r="Y16" s="208" t="s">
        <v>1769</v>
      </c>
      <c r="Z16" s="205" t="s">
        <v>254</v>
      </c>
      <c r="AA16" s="205" t="s">
        <v>1769</v>
      </c>
      <c r="AB16" s="205" t="s">
        <v>254</v>
      </c>
      <c r="AC16" s="205" t="s">
        <v>163</v>
      </c>
      <c r="AD16" s="209" t="s">
        <v>323</v>
      </c>
      <c r="AE16" s="246" t="s">
        <v>1769</v>
      </c>
      <c r="AF16" s="246">
        <v>572500</v>
      </c>
      <c r="AG16" s="246">
        <v>604900</v>
      </c>
      <c r="AH16" s="246" t="s">
        <v>1769</v>
      </c>
      <c r="AI16" s="246" t="s">
        <v>1769</v>
      </c>
      <c r="AJ16" s="246" t="s">
        <v>1769</v>
      </c>
    </row>
    <row r="17" spans="1:36">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08" t="s">
        <v>1769</v>
      </c>
      <c r="P17" s="209" t="s">
        <v>1224</v>
      </c>
      <c r="Q17" s="205" t="s">
        <v>1275</v>
      </c>
      <c r="R17" s="211" t="s">
        <v>1769</v>
      </c>
      <c r="S17" s="205" t="s">
        <v>1177</v>
      </c>
      <c r="T17" s="210" t="s">
        <v>1276</v>
      </c>
      <c r="U17" s="206" t="s">
        <v>1769</v>
      </c>
      <c r="V17" s="206" t="s">
        <v>1769</v>
      </c>
      <c r="W17" s="205" t="s">
        <v>1769</v>
      </c>
      <c r="X17" s="205" t="s">
        <v>1769</v>
      </c>
      <c r="Y17" s="208" t="s">
        <v>1769</v>
      </c>
      <c r="Z17" s="205" t="s">
        <v>254</v>
      </c>
      <c r="AA17" s="205" t="s">
        <v>1769</v>
      </c>
      <c r="AB17" s="205" t="s">
        <v>254</v>
      </c>
      <c r="AC17" s="205" t="s">
        <v>163</v>
      </c>
      <c r="AD17" s="209" t="s">
        <v>323</v>
      </c>
      <c r="AE17" s="246" t="s">
        <v>1769</v>
      </c>
      <c r="AF17" s="246">
        <v>292600</v>
      </c>
      <c r="AG17" s="246">
        <v>3000</v>
      </c>
      <c r="AH17" s="246" t="s">
        <v>1769</v>
      </c>
      <c r="AI17" s="246" t="s">
        <v>1769</v>
      </c>
      <c r="AJ17" s="246" t="s">
        <v>1769</v>
      </c>
    </row>
    <row r="18" spans="1:36"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1051</v>
      </c>
      <c r="M18" s="200" t="s">
        <v>1051</v>
      </c>
      <c r="N18" s="200" t="s">
        <v>1769</v>
      </c>
      <c r="O18" s="204" t="s">
        <v>1769</v>
      </c>
      <c r="P18" s="202" t="s">
        <v>1204</v>
      </c>
      <c r="Q18" s="200" t="s">
        <v>1205</v>
      </c>
      <c r="R18" s="203" t="s">
        <v>1769</v>
      </c>
      <c r="S18" s="200" t="s">
        <v>1187</v>
      </c>
      <c r="T18" s="200" t="s">
        <v>1199</v>
      </c>
      <c r="U18" s="200" t="s">
        <v>1769</v>
      </c>
      <c r="V18" s="200" t="s">
        <v>1769</v>
      </c>
      <c r="W18" s="200" t="s">
        <v>1769</v>
      </c>
      <c r="X18" s="200" t="s">
        <v>1769</v>
      </c>
      <c r="Y18" s="267" t="s">
        <v>1777</v>
      </c>
      <c r="Z18" s="200" t="s">
        <v>254</v>
      </c>
      <c r="AA18" s="200" t="s">
        <v>1769</v>
      </c>
      <c r="AB18" s="200" t="s">
        <v>254</v>
      </c>
      <c r="AC18" s="200" t="s">
        <v>163</v>
      </c>
      <c r="AD18" s="202" t="s">
        <v>323</v>
      </c>
      <c r="AE18" s="200" t="s">
        <v>1769</v>
      </c>
      <c r="AF18" s="200" t="s">
        <v>1769</v>
      </c>
      <c r="AG18" s="200" t="s">
        <v>1769</v>
      </c>
      <c r="AH18" s="200" t="s">
        <v>1769</v>
      </c>
      <c r="AI18" s="200" t="s">
        <v>1769</v>
      </c>
      <c r="AJ18" s="200" t="s">
        <v>1769</v>
      </c>
    </row>
    <row r="19" spans="1:36"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1051</v>
      </c>
      <c r="M19" s="200" t="s">
        <v>1051</v>
      </c>
      <c r="N19" s="200" t="s">
        <v>1769</v>
      </c>
      <c r="O19" s="204" t="s">
        <v>1769</v>
      </c>
      <c r="P19" s="202" t="s">
        <v>1204</v>
      </c>
      <c r="Q19" s="200" t="s">
        <v>1205</v>
      </c>
      <c r="R19" s="200" t="s">
        <v>697</v>
      </c>
      <c r="S19" s="200" t="s">
        <v>1187</v>
      </c>
      <c r="T19" s="200" t="s">
        <v>1207</v>
      </c>
      <c r="U19" s="200" t="s">
        <v>1769</v>
      </c>
      <c r="V19" s="200" t="s">
        <v>1769</v>
      </c>
      <c r="W19" s="200" t="s">
        <v>1769</v>
      </c>
      <c r="X19" s="200" t="s">
        <v>1769</v>
      </c>
      <c r="Y19" s="267" t="s">
        <v>1778</v>
      </c>
      <c r="Z19" s="200" t="s">
        <v>254</v>
      </c>
      <c r="AA19" s="200" t="s">
        <v>1769</v>
      </c>
      <c r="AB19" s="200" t="s">
        <v>254</v>
      </c>
      <c r="AC19" s="200" t="s">
        <v>163</v>
      </c>
      <c r="AD19" s="202" t="s">
        <v>323</v>
      </c>
      <c r="AE19" s="200" t="s">
        <v>1769</v>
      </c>
      <c r="AF19" s="200" t="s">
        <v>1769</v>
      </c>
      <c r="AG19" s="200" t="s">
        <v>1769</v>
      </c>
      <c r="AH19" s="200" t="s">
        <v>1769</v>
      </c>
      <c r="AI19" s="200" t="s">
        <v>1769</v>
      </c>
      <c r="AJ19" s="200" t="s">
        <v>1769</v>
      </c>
    </row>
    <row r="20" spans="1:36">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08" t="s">
        <v>1769</v>
      </c>
      <c r="P20" s="209" t="s">
        <v>403</v>
      </c>
      <c r="Q20" s="205" t="s">
        <v>401</v>
      </c>
      <c r="R20" s="211" t="s">
        <v>1769</v>
      </c>
      <c r="S20" s="205" t="s">
        <v>1780</v>
      </c>
      <c r="T20" s="205" t="s">
        <v>1463</v>
      </c>
      <c r="U20" s="206" t="s">
        <v>1769</v>
      </c>
      <c r="V20" s="206" t="s">
        <v>1769</v>
      </c>
      <c r="W20" s="205" t="s">
        <v>1769</v>
      </c>
      <c r="X20" s="205" t="s">
        <v>1769</v>
      </c>
      <c r="Y20" s="208" t="s">
        <v>1769</v>
      </c>
      <c r="Z20" s="205" t="s">
        <v>254</v>
      </c>
      <c r="AA20" s="205" t="s">
        <v>1769</v>
      </c>
      <c r="AB20" s="205" t="s">
        <v>254</v>
      </c>
      <c r="AC20" s="205" t="s">
        <v>163</v>
      </c>
      <c r="AD20" s="209" t="s">
        <v>323</v>
      </c>
      <c r="AE20" s="246">
        <v>71200</v>
      </c>
      <c r="AF20" s="246" t="s">
        <v>1769</v>
      </c>
      <c r="AG20" s="246">
        <v>82600</v>
      </c>
      <c r="AH20" s="246" t="s">
        <v>1769</v>
      </c>
      <c r="AI20" s="246" t="s">
        <v>1769</v>
      </c>
      <c r="AJ20" s="246" t="s">
        <v>1769</v>
      </c>
    </row>
    <row r="21" spans="1:36">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462</v>
      </c>
      <c r="M21" s="206" t="s">
        <v>1776</v>
      </c>
      <c r="N21" s="181">
        <v>42270</v>
      </c>
      <c r="O21" s="208">
        <v>70560</v>
      </c>
      <c r="P21" s="209" t="s">
        <v>1224</v>
      </c>
      <c r="Q21" s="205" t="s">
        <v>1205</v>
      </c>
      <c r="R21" s="205" t="s">
        <v>1769</v>
      </c>
      <c r="S21" s="205" t="s">
        <v>1179</v>
      </c>
      <c r="T21" s="205" t="s">
        <v>1334</v>
      </c>
      <c r="U21" s="206" t="s">
        <v>1769</v>
      </c>
      <c r="V21" s="206" t="s">
        <v>1769</v>
      </c>
      <c r="W21" s="205" t="s">
        <v>1769</v>
      </c>
      <c r="X21" s="205" t="s">
        <v>1769</v>
      </c>
      <c r="Y21" s="208" t="s">
        <v>1769</v>
      </c>
      <c r="Z21" s="205" t="s">
        <v>254</v>
      </c>
      <c r="AA21" s="205" t="s">
        <v>1769</v>
      </c>
      <c r="AB21" s="205" t="s">
        <v>254</v>
      </c>
      <c r="AC21" s="205" t="s">
        <v>458</v>
      </c>
      <c r="AD21" s="209" t="s">
        <v>323</v>
      </c>
      <c r="AE21" s="246">
        <v>369600</v>
      </c>
      <c r="AF21" s="246">
        <v>477600</v>
      </c>
      <c r="AG21" s="246" t="s">
        <v>1769</v>
      </c>
      <c r="AH21" s="246" t="s">
        <v>1769</v>
      </c>
      <c r="AI21" s="246" t="s">
        <v>1769</v>
      </c>
      <c r="AJ21" s="246" t="s">
        <v>1769</v>
      </c>
    </row>
    <row r="22" spans="1:36">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08" t="s">
        <v>1769</v>
      </c>
      <c r="P22" s="209" t="s">
        <v>1224</v>
      </c>
      <c r="Q22" s="205" t="s">
        <v>1205</v>
      </c>
      <c r="R22" s="211" t="s">
        <v>1769</v>
      </c>
      <c r="S22" s="205" t="s">
        <v>1179</v>
      </c>
      <c r="T22" s="205" t="s">
        <v>1226</v>
      </c>
      <c r="U22" s="206" t="s">
        <v>1769</v>
      </c>
      <c r="V22" s="206" t="s">
        <v>1769</v>
      </c>
      <c r="W22" s="205" t="s">
        <v>1769</v>
      </c>
      <c r="X22" s="205" t="s">
        <v>1769</v>
      </c>
      <c r="Y22" s="208" t="s">
        <v>1769</v>
      </c>
      <c r="Z22" s="205" t="s">
        <v>254</v>
      </c>
      <c r="AA22" s="205" t="s">
        <v>1769</v>
      </c>
      <c r="AB22" s="205" t="s">
        <v>254</v>
      </c>
      <c r="AC22" s="205" t="s">
        <v>163</v>
      </c>
      <c r="AD22" s="209" t="s">
        <v>323</v>
      </c>
      <c r="AE22" s="246">
        <v>545000</v>
      </c>
      <c r="AF22" s="246">
        <v>649600</v>
      </c>
      <c r="AG22" s="246">
        <v>775600</v>
      </c>
      <c r="AH22" s="246" t="s">
        <v>1769</v>
      </c>
      <c r="AI22" s="246" t="s">
        <v>1769</v>
      </c>
      <c r="AJ22" s="246" t="s">
        <v>1769</v>
      </c>
    </row>
    <row r="23" spans="1:36"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08" t="s">
        <v>1769</v>
      </c>
      <c r="P23" s="209" t="s">
        <v>1224</v>
      </c>
      <c r="Q23" s="205" t="s">
        <v>1205</v>
      </c>
      <c r="R23" s="211" t="s">
        <v>405</v>
      </c>
      <c r="S23" s="205" t="s">
        <v>1179</v>
      </c>
      <c r="T23" s="210" t="s">
        <v>1312</v>
      </c>
      <c r="U23" s="206" t="s">
        <v>1769</v>
      </c>
      <c r="V23" s="206" t="s">
        <v>1769</v>
      </c>
      <c r="W23" s="205" t="s">
        <v>1769</v>
      </c>
      <c r="X23" s="205" t="s">
        <v>1769</v>
      </c>
      <c r="Y23" s="208" t="s">
        <v>1769</v>
      </c>
      <c r="Z23" s="205" t="s">
        <v>254</v>
      </c>
      <c r="AA23" s="205" t="s">
        <v>1769</v>
      </c>
      <c r="AB23" s="205" t="s">
        <v>254</v>
      </c>
      <c r="AC23" s="205" t="s">
        <v>458</v>
      </c>
      <c r="AD23" s="209" t="s">
        <v>323</v>
      </c>
      <c r="AE23" s="246">
        <v>645500</v>
      </c>
      <c r="AF23" s="246">
        <v>755100</v>
      </c>
      <c r="AG23" s="246" t="s">
        <v>1769</v>
      </c>
      <c r="AH23" s="246" t="s">
        <v>1769</v>
      </c>
      <c r="AI23" s="246" t="s">
        <v>1769</v>
      </c>
      <c r="AJ23" s="246" t="s">
        <v>1769</v>
      </c>
    </row>
    <row r="24" spans="1:36"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08" t="s">
        <v>1769</v>
      </c>
      <c r="P24" s="209" t="s">
        <v>1224</v>
      </c>
      <c r="Q24" s="205" t="s">
        <v>1205</v>
      </c>
      <c r="R24" s="211" t="s">
        <v>405</v>
      </c>
      <c r="S24" s="205" t="s">
        <v>1179</v>
      </c>
      <c r="T24" s="210" t="s">
        <v>1312</v>
      </c>
      <c r="U24" s="206" t="s">
        <v>1769</v>
      </c>
      <c r="V24" s="206" t="s">
        <v>1769</v>
      </c>
      <c r="W24" s="205" t="s">
        <v>1769</v>
      </c>
      <c r="X24" s="205" t="s">
        <v>1769</v>
      </c>
      <c r="Y24" s="208" t="s">
        <v>1769</v>
      </c>
      <c r="Z24" s="205" t="s">
        <v>254</v>
      </c>
      <c r="AA24" s="205" t="s">
        <v>1769</v>
      </c>
      <c r="AB24" s="205" t="s">
        <v>254</v>
      </c>
      <c r="AC24" s="205" t="s">
        <v>458</v>
      </c>
      <c r="AD24" s="209" t="s">
        <v>1317</v>
      </c>
      <c r="AE24" s="246" t="s">
        <v>1769</v>
      </c>
      <c r="AF24" s="246">
        <v>389000</v>
      </c>
      <c r="AG24" s="246">
        <v>520000</v>
      </c>
      <c r="AH24" s="246" t="s">
        <v>1769</v>
      </c>
      <c r="AI24" s="246" t="s">
        <v>1769</v>
      </c>
      <c r="AJ24" s="246" t="s">
        <v>1769</v>
      </c>
    </row>
    <row r="25" spans="1:36">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66" t="s">
        <v>1770</v>
      </c>
      <c r="M25" s="205" t="s">
        <v>1769</v>
      </c>
      <c r="N25" s="205" t="s">
        <v>1769</v>
      </c>
      <c r="O25" s="212" t="s">
        <v>1769</v>
      </c>
      <c r="P25" s="205" t="s">
        <v>1224</v>
      </c>
      <c r="Q25" s="205" t="s">
        <v>1205</v>
      </c>
      <c r="R25" s="205" t="s">
        <v>1345</v>
      </c>
      <c r="S25" s="205" t="s">
        <v>1817</v>
      </c>
      <c r="T25" s="205" t="s">
        <v>1769</v>
      </c>
      <c r="U25" s="205" t="s">
        <v>1769</v>
      </c>
      <c r="V25" s="205" t="s">
        <v>1769</v>
      </c>
      <c r="W25" s="205" t="s">
        <v>1769</v>
      </c>
      <c r="X25" s="205" t="s">
        <v>1769</v>
      </c>
      <c r="Y25" s="212" t="s">
        <v>1769</v>
      </c>
      <c r="Z25" s="205" t="s">
        <v>254</v>
      </c>
      <c r="AA25" s="205" t="s">
        <v>1769</v>
      </c>
      <c r="AB25" s="205" t="s">
        <v>254</v>
      </c>
      <c r="AC25" s="205" t="s">
        <v>1769</v>
      </c>
      <c r="AD25" s="205" t="s">
        <v>1769</v>
      </c>
      <c r="AE25" s="246" t="s">
        <v>1769</v>
      </c>
      <c r="AF25" s="246">
        <v>373400</v>
      </c>
      <c r="AG25" s="246">
        <v>429100</v>
      </c>
      <c r="AH25" s="246" t="s">
        <v>1769</v>
      </c>
      <c r="AI25" s="246" t="s">
        <v>1769</v>
      </c>
      <c r="AJ25" s="246" t="s">
        <v>1769</v>
      </c>
    </row>
    <row r="26" spans="1:36">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66" t="s">
        <v>1770</v>
      </c>
      <c r="M26" s="205" t="s">
        <v>1769</v>
      </c>
      <c r="N26" s="205" t="s">
        <v>1769</v>
      </c>
      <c r="O26" s="212" t="s">
        <v>1769</v>
      </c>
      <c r="P26" s="205" t="s">
        <v>1224</v>
      </c>
      <c r="Q26" s="205" t="s">
        <v>1205</v>
      </c>
      <c r="R26" s="205" t="s">
        <v>1350</v>
      </c>
      <c r="S26" s="205" t="s">
        <v>1818</v>
      </c>
      <c r="T26" s="205" t="s">
        <v>1769</v>
      </c>
      <c r="U26" s="205" t="s">
        <v>1769</v>
      </c>
      <c r="V26" s="205" t="s">
        <v>1769</v>
      </c>
      <c r="W26" s="205" t="s">
        <v>1769</v>
      </c>
      <c r="X26" s="205" t="s">
        <v>1769</v>
      </c>
      <c r="Y26" s="212" t="s">
        <v>1769</v>
      </c>
      <c r="Z26" s="205" t="s">
        <v>254</v>
      </c>
      <c r="AA26" s="205" t="s">
        <v>1769</v>
      </c>
      <c r="AB26" s="205" t="s">
        <v>254</v>
      </c>
      <c r="AC26" s="205" t="s">
        <v>1769</v>
      </c>
      <c r="AD26" s="205" t="s">
        <v>1769</v>
      </c>
      <c r="AE26" s="246" t="s">
        <v>1769</v>
      </c>
      <c r="AF26" s="246">
        <v>759300</v>
      </c>
      <c r="AG26" s="246">
        <v>804700</v>
      </c>
      <c r="AH26" s="246" t="s">
        <v>1769</v>
      </c>
      <c r="AI26" s="246" t="s">
        <v>1769</v>
      </c>
      <c r="AJ26" s="246" t="s">
        <v>1769</v>
      </c>
    </row>
    <row r="27" spans="1:36">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66" t="s">
        <v>1770</v>
      </c>
      <c r="M27" s="205" t="s">
        <v>1769</v>
      </c>
      <c r="N27" s="205" t="s">
        <v>1769</v>
      </c>
      <c r="O27" s="212" t="s">
        <v>1769</v>
      </c>
      <c r="P27" s="205" t="s">
        <v>1224</v>
      </c>
      <c r="Q27" s="205" t="s">
        <v>1205</v>
      </c>
      <c r="R27" s="205" t="s">
        <v>1353</v>
      </c>
      <c r="S27" s="205" t="s">
        <v>1818</v>
      </c>
      <c r="T27" s="205" t="s">
        <v>1769</v>
      </c>
      <c r="U27" s="205" t="s">
        <v>1769</v>
      </c>
      <c r="V27" s="205" t="s">
        <v>1769</v>
      </c>
      <c r="W27" s="205" t="s">
        <v>1769</v>
      </c>
      <c r="X27" s="205" t="s">
        <v>1769</v>
      </c>
      <c r="Y27" s="212" t="s">
        <v>1769</v>
      </c>
      <c r="Z27" s="205" t="s">
        <v>254</v>
      </c>
      <c r="AA27" s="205" t="s">
        <v>1769</v>
      </c>
      <c r="AB27" s="205" t="s">
        <v>254</v>
      </c>
      <c r="AC27" s="205" t="s">
        <v>1769</v>
      </c>
      <c r="AD27" s="205" t="s">
        <v>1769</v>
      </c>
      <c r="AE27" s="246" t="s">
        <v>1769</v>
      </c>
      <c r="AF27" s="246">
        <v>310000</v>
      </c>
      <c r="AG27" s="246">
        <v>365500</v>
      </c>
      <c r="AH27" s="246" t="s">
        <v>1769</v>
      </c>
      <c r="AI27" s="246" t="s">
        <v>1769</v>
      </c>
      <c r="AJ27" s="246" t="s">
        <v>1769</v>
      </c>
    </row>
    <row r="28" spans="1:36">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462</v>
      </c>
      <c r="M28" s="206" t="s">
        <v>1773</v>
      </c>
      <c r="N28" s="181">
        <v>42922</v>
      </c>
      <c r="O28" s="208">
        <v>234150</v>
      </c>
      <c r="P28" s="209" t="s">
        <v>1224</v>
      </c>
      <c r="Q28" s="205" t="s">
        <v>1205</v>
      </c>
      <c r="R28" s="211" t="s">
        <v>1769</v>
      </c>
      <c r="S28" s="205" t="s">
        <v>1179</v>
      </c>
      <c r="T28" s="205" t="s">
        <v>325</v>
      </c>
      <c r="U28" s="206" t="s">
        <v>1769</v>
      </c>
      <c r="V28" s="206" t="s">
        <v>1769</v>
      </c>
      <c r="W28" s="205" t="s">
        <v>1769</v>
      </c>
      <c r="X28" s="205" t="s">
        <v>1769</v>
      </c>
      <c r="Y28" s="208" t="s">
        <v>1769</v>
      </c>
      <c r="Z28" s="205" t="s">
        <v>254</v>
      </c>
      <c r="AA28" s="205" t="s">
        <v>1769</v>
      </c>
      <c r="AB28" s="205" t="s">
        <v>254</v>
      </c>
      <c r="AC28" s="205" t="s">
        <v>163</v>
      </c>
      <c r="AD28" s="209" t="s">
        <v>323</v>
      </c>
      <c r="AE28" s="246" t="s">
        <v>1769</v>
      </c>
      <c r="AF28" s="246">
        <v>100600</v>
      </c>
      <c r="AG28" s="246">
        <v>208700</v>
      </c>
      <c r="AH28" s="246" t="s">
        <v>1769</v>
      </c>
      <c r="AI28" s="246" t="s">
        <v>1769</v>
      </c>
      <c r="AJ28" s="246" t="s">
        <v>1769</v>
      </c>
    </row>
    <row r="29" spans="1:36"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462</v>
      </c>
      <c r="M29" s="206" t="s">
        <v>1773</v>
      </c>
      <c r="N29" s="181">
        <v>43045</v>
      </c>
      <c r="O29" s="208">
        <v>227850</v>
      </c>
      <c r="P29" s="209" t="s">
        <v>1224</v>
      </c>
      <c r="Q29" s="205" t="s">
        <v>1205</v>
      </c>
      <c r="R29" s="211" t="s">
        <v>405</v>
      </c>
      <c r="S29" s="205" t="s">
        <v>1179</v>
      </c>
      <c r="T29" s="205" t="s">
        <v>1226</v>
      </c>
      <c r="U29" s="206" t="s">
        <v>1769</v>
      </c>
      <c r="V29" s="206" t="s">
        <v>1769</v>
      </c>
      <c r="W29" s="205" t="s">
        <v>1769</v>
      </c>
      <c r="X29" s="205" t="s">
        <v>1769</v>
      </c>
      <c r="Y29" s="208" t="s">
        <v>1769</v>
      </c>
      <c r="Z29" s="205" t="s">
        <v>254</v>
      </c>
      <c r="AA29" s="205" t="s">
        <v>1769</v>
      </c>
      <c r="AB29" s="205" t="s">
        <v>254</v>
      </c>
      <c r="AC29" s="205" t="s">
        <v>458</v>
      </c>
      <c r="AD29" s="209" t="s">
        <v>323</v>
      </c>
      <c r="AE29" s="246">
        <v>118000</v>
      </c>
      <c r="AF29" s="246">
        <v>175300</v>
      </c>
      <c r="AG29" s="246">
        <v>302900</v>
      </c>
      <c r="AH29" s="246" t="s">
        <v>1769</v>
      </c>
      <c r="AI29" s="246" t="s">
        <v>1769</v>
      </c>
      <c r="AJ29" s="246" t="s">
        <v>1769</v>
      </c>
    </row>
    <row r="30" spans="1:36">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1473</v>
      </c>
      <c r="M30" s="206" t="s">
        <v>1776</v>
      </c>
      <c r="N30" s="182">
        <v>42499</v>
      </c>
      <c r="O30" s="212">
        <v>197925</v>
      </c>
      <c r="P30" s="205" t="s">
        <v>1224</v>
      </c>
      <c r="Q30" s="205" t="s">
        <v>1205</v>
      </c>
      <c r="R30" s="205" t="s">
        <v>1472</v>
      </c>
      <c r="S30" s="205" t="s">
        <v>1182</v>
      </c>
      <c r="T30" s="205" t="s">
        <v>1769</v>
      </c>
      <c r="U30" s="205" t="s">
        <v>1769</v>
      </c>
      <c r="V30" s="205" t="s">
        <v>1769</v>
      </c>
      <c r="W30" s="205" t="s">
        <v>1769</v>
      </c>
      <c r="X30" s="205" t="s">
        <v>1769</v>
      </c>
      <c r="Y30" s="212" t="s">
        <v>1769</v>
      </c>
      <c r="Z30" s="205" t="s">
        <v>254</v>
      </c>
      <c r="AA30" s="205" t="s">
        <v>1769</v>
      </c>
      <c r="AB30" s="205" t="s">
        <v>254</v>
      </c>
      <c r="AC30" s="205" t="s">
        <v>1769</v>
      </c>
      <c r="AD30" s="205" t="s">
        <v>1769</v>
      </c>
      <c r="AE30" s="246" t="s">
        <v>1769</v>
      </c>
      <c r="AF30" s="246">
        <v>567200</v>
      </c>
      <c r="AG30" s="246">
        <v>608800</v>
      </c>
      <c r="AH30" s="246" t="s">
        <v>1769</v>
      </c>
      <c r="AI30" s="246" t="s">
        <v>1769</v>
      </c>
      <c r="AJ30" s="246" t="s">
        <v>1769</v>
      </c>
    </row>
    <row r="31" spans="1:36">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1473</v>
      </c>
      <c r="M31" s="206" t="s">
        <v>1773</v>
      </c>
      <c r="N31" s="182">
        <v>43274</v>
      </c>
      <c r="O31" s="212">
        <v>196980</v>
      </c>
      <c r="P31" s="205" t="s">
        <v>1224</v>
      </c>
      <c r="Q31" s="205" t="s">
        <v>1205</v>
      </c>
      <c r="R31" s="205" t="s">
        <v>1477</v>
      </c>
      <c r="S31" s="205" t="s">
        <v>1182</v>
      </c>
      <c r="T31" s="205" t="s">
        <v>1769</v>
      </c>
      <c r="U31" s="205" t="s">
        <v>1769</v>
      </c>
      <c r="V31" s="205" t="s">
        <v>1769</v>
      </c>
      <c r="W31" s="205" t="s">
        <v>1769</v>
      </c>
      <c r="X31" s="205" t="s">
        <v>1769</v>
      </c>
      <c r="Y31" s="212" t="s">
        <v>1769</v>
      </c>
      <c r="Z31" s="205" t="s">
        <v>254</v>
      </c>
      <c r="AA31" s="205" t="s">
        <v>1769</v>
      </c>
      <c r="AB31" s="205" t="s">
        <v>254</v>
      </c>
      <c r="AC31" s="205" t="s">
        <v>1769</v>
      </c>
      <c r="AD31" s="205" t="s">
        <v>1769</v>
      </c>
      <c r="AE31" s="246" t="s">
        <v>1769</v>
      </c>
      <c r="AF31" s="246" t="s">
        <v>1769</v>
      </c>
      <c r="AG31" s="246">
        <v>45700</v>
      </c>
      <c r="AH31" s="246" t="s">
        <v>1769</v>
      </c>
      <c r="AI31" s="246" t="s">
        <v>1769</v>
      </c>
      <c r="AJ31" s="246" t="s">
        <v>1769</v>
      </c>
    </row>
    <row r="32" spans="1:36">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1473</v>
      </c>
      <c r="M32" s="205" t="s">
        <v>1781</v>
      </c>
      <c r="N32" s="182">
        <v>43397</v>
      </c>
      <c r="O32" s="212">
        <v>207375</v>
      </c>
      <c r="P32" s="205" t="s">
        <v>1224</v>
      </c>
      <c r="Q32" s="205" t="s">
        <v>1205</v>
      </c>
      <c r="R32" s="205" t="s">
        <v>1479</v>
      </c>
      <c r="S32" s="205" t="s">
        <v>1182</v>
      </c>
      <c r="T32" s="205" t="s">
        <v>1769</v>
      </c>
      <c r="U32" s="205" t="s">
        <v>1769</v>
      </c>
      <c r="V32" s="205" t="s">
        <v>1769</v>
      </c>
      <c r="W32" s="205" t="s">
        <v>1769</v>
      </c>
      <c r="X32" s="205" t="s">
        <v>1769</v>
      </c>
      <c r="Y32" s="212" t="s">
        <v>1769</v>
      </c>
      <c r="Z32" s="205" t="s">
        <v>254</v>
      </c>
      <c r="AA32" s="205" t="s">
        <v>1769</v>
      </c>
      <c r="AB32" s="205" t="s">
        <v>254</v>
      </c>
      <c r="AC32" s="205" t="s">
        <v>1769</v>
      </c>
      <c r="AD32" s="205" t="s">
        <v>1769</v>
      </c>
      <c r="AE32" s="246" t="s">
        <v>1769</v>
      </c>
      <c r="AF32" s="246" t="s">
        <v>1769</v>
      </c>
      <c r="AG32" s="246">
        <v>42700</v>
      </c>
      <c r="AH32" s="246" t="s">
        <v>1769</v>
      </c>
      <c r="AI32" s="246" t="s">
        <v>1769</v>
      </c>
      <c r="AJ32" s="246" t="s">
        <v>1769</v>
      </c>
    </row>
    <row r="33" spans="1:36">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1473</v>
      </c>
      <c r="M33" s="205" t="s">
        <v>1781</v>
      </c>
      <c r="N33" s="182">
        <v>43397</v>
      </c>
      <c r="O33" s="212">
        <v>207375</v>
      </c>
      <c r="P33" s="205" t="s">
        <v>1224</v>
      </c>
      <c r="Q33" s="205" t="s">
        <v>1205</v>
      </c>
      <c r="R33" s="205" t="s">
        <v>1480</v>
      </c>
      <c r="S33" s="205" t="s">
        <v>1182</v>
      </c>
      <c r="T33" s="205" t="s">
        <v>1769</v>
      </c>
      <c r="U33" s="205" t="s">
        <v>1769</v>
      </c>
      <c r="V33" s="205" t="s">
        <v>1769</v>
      </c>
      <c r="W33" s="205" t="s">
        <v>1769</v>
      </c>
      <c r="X33" s="205" t="s">
        <v>1769</v>
      </c>
      <c r="Y33" s="212" t="s">
        <v>1769</v>
      </c>
      <c r="Z33" s="205" t="s">
        <v>254</v>
      </c>
      <c r="AA33" s="205" t="s">
        <v>1769</v>
      </c>
      <c r="AB33" s="205" t="s">
        <v>254</v>
      </c>
      <c r="AC33" s="205" t="s">
        <v>1769</v>
      </c>
      <c r="AD33" s="205" t="s">
        <v>1769</v>
      </c>
      <c r="AE33" s="246" t="s">
        <v>1769</v>
      </c>
      <c r="AF33" s="246" t="s">
        <v>1769</v>
      </c>
      <c r="AG33" s="246">
        <v>45600</v>
      </c>
      <c r="AH33" s="246" t="s">
        <v>1769</v>
      </c>
      <c r="AI33" s="246" t="s">
        <v>1769</v>
      </c>
      <c r="AJ33" s="246" t="s">
        <v>1769</v>
      </c>
    </row>
    <row r="34" spans="1:36">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1473</v>
      </c>
      <c r="M34" s="205" t="s">
        <v>1781</v>
      </c>
      <c r="N34" s="182">
        <v>43397</v>
      </c>
      <c r="O34" s="212">
        <v>207375</v>
      </c>
      <c r="P34" s="205" t="s">
        <v>1224</v>
      </c>
      <c r="Q34" s="205" t="s">
        <v>1205</v>
      </c>
      <c r="R34" s="205" t="s">
        <v>1481</v>
      </c>
      <c r="S34" s="205" t="s">
        <v>1182</v>
      </c>
      <c r="T34" s="205" t="s">
        <v>1769</v>
      </c>
      <c r="U34" s="205" t="s">
        <v>1769</v>
      </c>
      <c r="V34" s="205" t="s">
        <v>1769</v>
      </c>
      <c r="W34" s="205" t="s">
        <v>1769</v>
      </c>
      <c r="X34" s="205" t="s">
        <v>1769</v>
      </c>
      <c r="Y34" s="212" t="s">
        <v>1769</v>
      </c>
      <c r="Z34" s="205" t="s">
        <v>254</v>
      </c>
      <c r="AA34" s="205" t="s">
        <v>1769</v>
      </c>
      <c r="AB34" s="205" t="s">
        <v>254</v>
      </c>
      <c r="AC34" s="205" t="s">
        <v>1769</v>
      </c>
      <c r="AD34" s="205" t="s">
        <v>1769</v>
      </c>
      <c r="AE34" s="246" t="s">
        <v>1769</v>
      </c>
      <c r="AF34" s="246" t="s">
        <v>1769</v>
      </c>
      <c r="AG34" s="246">
        <v>49400</v>
      </c>
      <c r="AH34" s="246" t="s">
        <v>1769</v>
      </c>
      <c r="AI34" s="246" t="s">
        <v>1769</v>
      </c>
      <c r="AJ34" s="246" t="s">
        <v>1769</v>
      </c>
    </row>
    <row r="35" spans="1:36">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1473</v>
      </c>
      <c r="M35" s="205" t="s">
        <v>1781</v>
      </c>
      <c r="N35" s="182">
        <v>43423</v>
      </c>
      <c r="O35" s="212">
        <v>207375</v>
      </c>
      <c r="P35" s="205" t="s">
        <v>1224</v>
      </c>
      <c r="Q35" s="205" t="s">
        <v>1205</v>
      </c>
      <c r="R35" s="205" t="s">
        <v>1483</v>
      </c>
      <c r="S35" s="205" t="s">
        <v>1182</v>
      </c>
      <c r="T35" s="205" t="s">
        <v>1769</v>
      </c>
      <c r="U35" s="205" t="s">
        <v>1769</v>
      </c>
      <c r="V35" s="205" t="s">
        <v>1769</v>
      </c>
      <c r="W35" s="205" t="s">
        <v>1769</v>
      </c>
      <c r="X35" s="205" t="s">
        <v>1769</v>
      </c>
      <c r="Y35" s="212" t="s">
        <v>1769</v>
      </c>
      <c r="Z35" s="205" t="s">
        <v>254</v>
      </c>
      <c r="AA35" s="205" t="s">
        <v>1769</v>
      </c>
      <c r="AB35" s="205" t="s">
        <v>254</v>
      </c>
      <c r="AC35" s="205" t="s">
        <v>1769</v>
      </c>
      <c r="AD35" s="205" t="s">
        <v>1769</v>
      </c>
      <c r="AE35" s="246" t="s">
        <v>1769</v>
      </c>
      <c r="AF35" s="246" t="s">
        <v>1769</v>
      </c>
      <c r="AG35" s="246" t="s">
        <v>1769</v>
      </c>
      <c r="AH35" s="246" t="s">
        <v>1769</v>
      </c>
      <c r="AI35" s="246" t="s">
        <v>1769</v>
      </c>
      <c r="AJ35" s="246" t="s">
        <v>1769</v>
      </c>
    </row>
    <row r="36" spans="1:36">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1473</v>
      </c>
      <c r="M36" s="205" t="s">
        <v>1781</v>
      </c>
      <c r="N36" s="182">
        <v>43423</v>
      </c>
      <c r="O36" s="212">
        <v>207375</v>
      </c>
      <c r="P36" s="205" t="s">
        <v>1224</v>
      </c>
      <c r="Q36" s="205" t="s">
        <v>1205</v>
      </c>
      <c r="R36" s="205" t="s">
        <v>1484</v>
      </c>
      <c r="S36" s="205" t="s">
        <v>1182</v>
      </c>
      <c r="T36" s="205" t="s">
        <v>1769</v>
      </c>
      <c r="U36" s="205" t="s">
        <v>1769</v>
      </c>
      <c r="V36" s="205" t="s">
        <v>1769</v>
      </c>
      <c r="W36" s="205" t="s">
        <v>1769</v>
      </c>
      <c r="X36" s="205" t="s">
        <v>1769</v>
      </c>
      <c r="Y36" s="212" t="s">
        <v>1769</v>
      </c>
      <c r="Z36" s="205" t="s">
        <v>254</v>
      </c>
      <c r="AA36" s="205" t="s">
        <v>1769</v>
      </c>
      <c r="AB36" s="205" t="s">
        <v>254</v>
      </c>
      <c r="AC36" s="205" t="s">
        <v>1769</v>
      </c>
      <c r="AD36" s="205" t="s">
        <v>1769</v>
      </c>
      <c r="AE36" s="246" t="s">
        <v>1769</v>
      </c>
      <c r="AF36" s="246" t="s">
        <v>1769</v>
      </c>
      <c r="AG36" s="246" t="s">
        <v>1769</v>
      </c>
      <c r="AH36" s="246" t="s">
        <v>1769</v>
      </c>
      <c r="AI36" s="246" t="s">
        <v>1769</v>
      </c>
      <c r="AJ36" s="246" t="s">
        <v>1769</v>
      </c>
    </row>
    <row r="37" spans="1:36">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1473</v>
      </c>
      <c r="M37" s="205" t="s">
        <v>1781</v>
      </c>
      <c r="N37" s="182">
        <v>43423</v>
      </c>
      <c r="O37" s="212">
        <v>207375</v>
      </c>
      <c r="P37" s="205" t="s">
        <v>1224</v>
      </c>
      <c r="Q37" s="205" t="s">
        <v>1205</v>
      </c>
      <c r="R37" s="205" t="s">
        <v>1485</v>
      </c>
      <c r="S37" s="205" t="s">
        <v>1182</v>
      </c>
      <c r="T37" s="205" t="s">
        <v>1769</v>
      </c>
      <c r="U37" s="205" t="s">
        <v>1769</v>
      </c>
      <c r="V37" s="205" t="s">
        <v>1769</v>
      </c>
      <c r="W37" s="205" t="s">
        <v>1769</v>
      </c>
      <c r="X37" s="205" t="s">
        <v>1769</v>
      </c>
      <c r="Y37" s="212" t="s">
        <v>1769</v>
      </c>
      <c r="Z37" s="205" t="s">
        <v>254</v>
      </c>
      <c r="AA37" s="205" t="s">
        <v>1769</v>
      </c>
      <c r="AB37" s="205" t="s">
        <v>254</v>
      </c>
      <c r="AC37" s="205" t="s">
        <v>1769</v>
      </c>
      <c r="AD37" s="205" t="s">
        <v>1769</v>
      </c>
      <c r="AE37" s="246" t="s">
        <v>1769</v>
      </c>
      <c r="AF37" s="246" t="s">
        <v>1769</v>
      </c>
      <c r="AG37" s="246" t="s">
        <v>1769</v>
      </c>
      <c r="AH37" s="246" t="s">
        <v>1769</v>
      </c>
      <c r="AI37" s="246" t="s">
        <v>1769</v>
      </c>
      <c r="AJ37" s="246" t="s">
        <v>1769</v>
      </c>
    </row>
    <row r="38" spans="1:36">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1473</v>
      </c>
      <c r="M38" s="205" t="s">
        <v>1781</v>
      </c>
      <c r="N38" s="182">
        <v>43423</v>
      </c>
      <c r="O38" s="212">
        <v>207375</v>
      </c>
      <c r="P38" s="205" t="s">
        <v>1224</v>
      </c>
      <c r="Q38" s="205" t="s">
        <v>1205</v>
      </c>
      <c r="R38" s="205" t="s">
        <v>1486</v>
      </c>
      <c r="S38" s="205" t="s">
        <v>1182</v>
      </c>
      <c r="T38" s="205" t="s">
        <v>1769</v>
      </c>
      <c r="U38" s="205" t="s">
        <v>1769</v>
      </c>
      <c r="V38" s="205" t="s">
        <v>1769</v>
      </c>
      <c r="W38" s="205" t="s">
        <v>1769</v>
      </c>
      <c r="X38" s="205" t="s">
        <v>1769</v>
      </c>
      <c r="Y38" s="212" t="s">
        <v>1769</v>
      </c>
      <c r="Z38" s="205" t="s">
        <v>254</v>
      </c>
      <c r="AA38" s="205" t="s">
        <v>1769</v>
      </c>
      <c r="AB38" s="205" t="s">
        <v>254</v>
      </c>
      <c r="AC38" s="205" t="s">
        <v>1769</v>
      </c>
      <c r="AD38" s="205" t="s">
        <v>1769</v>
      </c>
      <c r="AE38" s="246" t="s">
        <v>1769</v>
      </c>
      <c r="AF38" s="246" t="s">
        <v>1769</v>
      </c>
      <c r="AG38" s="246" t="s">
        <v>1769</v>
      </c>
      <c r="AH38" s="246" t="s">
        <v>1769</v>
      </c>
      <c r="AI38" s="246" t="s">
        <v>1769</v>
      </c>
      <c r="AJ38" s="246" t="s">
        <v>1769</v>
      </c>
    </row>
    <row r="39" spans="1:36">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1473</v>
      </c>
      <c r="M39" s="205" t="s">
        <v>1781</v>
      </c>
      <c r="N39" s="182">
        <v>43437</v>
      </c>
      <c r="O39" s="212">
        <v>207375</v>
      </c>
      <c r="P39" s="205" t="s">
        <v>1224</v>
      </c>
      <c r="Q39" s="205" t="s">
        <v>1205</v>
      </c>
      <c r="R39" s="205" t="s">
        <v>1488</v>
      </c>
      <c r="S39" s="205" t="s">
        <v>1182</v>
      </c>
      <c r="T39" s="205" t="s">
        <v>1769</v>
      </c>
      <c r="U39" s="205" t="s">
        <v>1769</v>
      </c>
      <c r="V39" s="205" t="s">
        <v>1769</v>
      </c>
      <c r="W39" s="205" t="s">
        <v>1769</v>
      </c>
      <c r="X39" s="205" t="s">
        <v>1769</v>
      </c>
      <c r="Y39" s="212" t="s">
        <v>1769</v>
      </c>
      <c r="Z39" s="205" t="s">
        <v>254</v>
      </c>
      <c r="AA39" s="205" t="s">
        <v>1769</v>
      </c>
      <c r="AB39" s="205" t="s">
        <v>254</v>
      </c>
      <c r="AC39" s="205" t="s">
        <v>1769</v>
      </c>
      <c r="AD39" s="205" t="s">
        <v>1769</v>
      </c>
      <c r="AE39" s="246" t="s">
        <v>1769</v>
      </c>
      <c r="AF39" s="246" t="s">
        <v>1769</v>
      </c>
      <c r="AG39" s="246" t="s">
        <v>1769</v>
      </c>
      <c r="AH39" s="246" t="s">
        <v>1769</v>
      </c>
      <c r="AI39" s="246" t="s">
        <v>1769</v>
      </c>
      <c r="AJ39" s="246" t="s">
        <v>1769</v>
      </c>
    </row>
    <row r="40" spans="1:36">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08" t="s">
        <v>1769</v>
      </c>
      <c r="P40" s="209" t="s">
        <v>1224</v>
      </c>
      <c r="Q40" s="205" t="s">
        <v>1769</v>
      </c>
      <c r="R40" s="211" t="s">
        <v>809</v>
      </c>
      <c r="S40" s="205" t="s">
        <v>1179</v>
      </c>
      <c r="T40" s="210" t="s">
        <v>1769</v>
      </c>
      <c r="U40" s="206" t="s">
        <v>1769</v>
      </c>
      <c r="V40" s="206" t="s">
        <v>1769</v>
      </c>
      <c r="W40" s="205" t="s">
        <v>1769</v>
      </c>
      <c r="X40" s="205" t="s">
        <v>1769</v>
      </c>
      <c r="Y40" s="208" t="s">
        <v>1769</v>
      </c>
      <c r="Z40" s="205" t="s">
        <v>254</v>
      </c>
      <c r="AA40" s="205" t="s">
        <v>1769</v>
      </c>
      <c r="AB40" s="205" t="s">
        <v>254</v>
      </c>
      <c r="AC40" s="205" t="s">
        <v>163</v>
      </c>
      <c r="AD40" s="209" t="s">
        <v>323</v>
      </c>
      <c r="AE40" s="246" t="s">
        <v>1769</v>
      </c>
      <c r="AF40" s="246" t="s">
        <v>1769</v>
      </c>
      <c r="AG40" s="246" t="s">
        <v>1769</v>
      </c>
      <c r="AH40" s="246" t="s">
        <v>1769</v>
      </c>
      <c r="AI40" s="246" t="s">
        <v>1769</v>
      </c>
      <c r="AJ40" s="246" t="s">
        <v>1769</v>
      </c>
    </row>
    <row r="41" spans="1:36"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66" t="s">
        <v>1770</v>
      </c>
      <c r="M41" s="205" t="s">
        <v>1769</v>
      </c>
      <c r="N41" s="205" t="s">
        <v>1769</v>
      </c>
      <c r="O41" s="212" t="s">
        <v>1769</v>
      </c>
      <c r="P41" s="205" t="s">
        <v>1224</v>
      </c>
      <c r="Q41" s="205" t="s">
        <v>1205</v>
      </c>
      <c r="R41" s="213">
        <v>5098</v>
      </c>
      <c r="S41" s="205" t="s">
        <v>1179</v>
      </c>
      <c r="T41" s="205" t="s">
        <v>1769</v>
      </c>
      <c r="U41" s="205" t="s">
        <v>1769</v>
      </c>
      <c r="V41" s="205" t="s">
        <v>1769</v>
      </c>
      <c r="W41" s="205" t="s">
        <v>1769</v>
      </c>
      <c r="X41" s="205" t="s">
        <v>1769</v>
      </c>
      <c r="Y41" s="212" t="s">
        <v>1769</v>
      </c>
      <c r="Z41" s="205" t="s">
        <v>254</v>
      </c>
      <c r="AA41" s="205" t="s">
        <v>1769</v>
      </c>
      <c r="AB41" s="205" t="s">
        <v>254</v>
      </c>
      <c r="AC41" s="205" t="s">
        <v>1769</v>
      </c>
      <c r="AD41" s="205" t="s">
        <v>1769</v>
      </c>
      <c r="AE41" s="246" t="s">
        <v>1769</v>
      </c>
      <c r="AF41" s="246">
        <v>184700</v>
      </c>
      <c r="AG41" s="246">
        <v>240200</v>
      </c>
      <c r="AH41" s="246" t="s">
        <v>1769</v>
      </c>
      <c r="AI41" s="246" t="s">
        <v>1769</v>
      </c>
      <c r="AJ41" s="246" t="s">
        <v>1769</v>
      </c>
    </row>
    <row r="42" spans="1:36"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08" t="s">
        <v>1769</v>
      </c>
      <c r="P42" s="209" t="s">
        <v>1224</v>
      </c>
      <c r="Q42" s="205" t="s">
        <v>1205</v>
      </c>
      <c r="R42" s="211" t="s">
        <v>585</v>
      </c>
      <c r="S42" s="205" t="s">
        <v>1179</v>
      </c>
      <c r="T42" s="210" t="s">
        <v>325</v>
      </c>
      <c r="U42" s="206" t="s">
        <v>1769</v>
      </c>
      <c r="V42" s="206" t="s">
        <v>1769</v>
      </c>
      <c r="W42" s="205" t="s">
        <v>1769</v>
      </c>
      <c r="X42" s="205" t="s">
        <v>1769</v>
      </c>
      <c r="Y42" s="208" t="s">
        <v>1769</v>
      </c>
      <c r="Z42" s="205" t="s">
        <v>254</v>
      </c>
      <c r="AA42" s="205" t="s">
        <v>1769</v>
      </c>
      <c r="AB42" s="205" t="s">
        <v>254</v>
      </c>
      <c r="AC42" s="205" t="s">
        <v>163</v>
      </c>
      <c r="AD42" s="209" t="s">
        <v>323</v>
      </c>
      <c r="AE42" s="246" t="s">
        <v>1769</v>
      </c>
      <c r="AF42" s="246">
        <v>124400</v>
      </c>
      <c r="AG42" s="246" t="s">
        <v>1769</v>
      </c>
      <c r="AH42" s="246" t="s">
        <v>1769</v>
      </c>
      <c r="AI42" s="246" t="s">
        <v>1769</v>
      </c>
      <c r="AJ42" s="246" t="s">
        <v>1769</v>
      </c>
    </row>
    <row r="43" spans="1:36" ht="22.5">
      <c r="A43" s="205">
        <v>2721</v>
      </c>
      <c r="B43" s="206" t="s">
        <v>1158</v>
      </c>
      <c r="C43" s="253" t="s">
        <v>1206</v>
      </c>
      <c r="D43" s="206" t="str">
        <f t="shared" si="0"/>
        <v>宮城400あ2721</v>
      </c>
      <c r="E43" s="206" t="s">
        <v>1077</v>
      </c>
      <c r="F43" s="206" t="s">
        <v>1332</v>
      </c>
      <c r="G43" s="206" t="s">
        <v>1331</v>
      </c>
      <c r="H43" s="105" t="s">
        <v>1705</v>
      </c>
      <c r="I43" s="205" t="s">
        <v>1769</v>
      </c>
      <c r="J43" s="205" t="s">
        <v>1769</v>
      </c>
      <c r="K43" s="206" t="s">
        <v>1782</v>
      </c>
      <c r="L43" s="223" t="s">
        <v>1051</v>
      </c>
      <c r="M43" s="222" t="s">
        <v>1051</v>
      </c>
      <c r="N43" s="205" t="s">
        <v>1769</v>
      </c>
      <c r="O43" s="220" t="s">
        <v>1769</v>
      </c>
      <c r="P43" s="206" t="s">
        <v>402</v>
      </c>
      <c r="Q43" s="206" t="s">
        <v>401</v>
      </c>
      <c r="R43" s="205" t="s">
        <v>1769</v>
      </c>
      <c r="S43" s="205" t="s">
        <v>1184</v>
      </c>
      <c r="T43" s="206" t="s">
        <v>1517</v>
      </c>
      <c r="U43" s="205" t="s">
        <v>1769</v>
      </c>
      <c r="V43" s="205" t="s">
        <v>1769</v>
      </c>
      <c r="W43" s="205" t="s">
        <v>1769</v>
      </c>
      <c r="X43" s="205" t="s">
        <v>1769</v>
      </c>
      <c r="Y43" s="268" t="s">
        <v>1783</v>
      </c>
      <c r="Z43" s="205" t="s">
        <v>1769</v>
      </c>
      <c r="AA43" s="205" t="s">
        <v>254</v>
      </c>
      <c r="AB43" s="205" t="s">
        <v>254</v>
      </c>
      <c r="AC43" s="206" t="s">
        <v>163</v>
      </c>
      <c r="AD43" s="206" t="s">
        <v>323</v>
      </c>
      <c r="AE43" s="246" t="s">
        <v>1769</v>
      </c>
      <c r="AF43" s="246">
        <v>206800</v>
      </c>
      <c r="AG43" s="246">
        <v>221300</v>
      </c>
      <c r="AH43" s="246" t="s">
        <v>1769</v>
      </c>
      <c r="AI43" s="246" t="s">
        <v>1769</v>
      </c>
      <c r="AJ43" s="246" t="s">
        <v>1769</v>
      </c>
    </row>
    <row r="44" spans="1:36">
      <c r="A44" s="206">
        <v>162</v>
      </c>
      <c r="B44" s="206" t="s">
        <v>1407</v>
      </c>
      <c r="C44" s="253" t="s">
        <v>1206</v>
      </c>
      <c r="D44" s="206" t="str">
        <f t="shared" si="0"/>
        <v>三河100い162</v>
      </c>
      <c r="E44" s="205" t="s">
        <v>1346</v>
      </c>
      <c r="F44" s="206" t="s">
        <v>525</v>
      </c>
      <c r="G44" s="206" t="s">
        <v>1234</v>
      </c>
      <c r="H44" s="227" t="s">
        <v>526</v>
      </c>
      <c r="I44" s="206" t="s">
        <v>1408</v>
      </c>
      <c r="J44" s="206" t="s">
        <v>1291</v>
      </c>
      <c r="K44" s="206" t="s">
        <v>381</v>
      </c>
      <c r="L44" s="206" t="s">
        <v>462</v>
      </c>
      <c r="M44" s="206" t="s">
        <v>1776</v>
      </c>
      <c r="N44" s="181">
        <v>42270</v>
      </c>
      <c r="O44" s="208">
        <v>87780</v>
      </c>
      <c r="P44" s="209" t="s">
        <v>1224</v>
      </c>
      <c r="Q44" s="205" t="s">
        <v>1205</v>
      </c>
      <c r="R44" s="211" t="s">
        <v>1769</v>
      </c>
      <c r="S44" s="205" t="s">
        <v>1175</v>
      </c>
      <c r="T44" s="205" t="s">
        <v>379</v>
      </c>
      <c r="U44" s="206" t="s">
        <v>1769</v>
      </c>
      <c r="V44" s="206" t="s">
        <v>1769</v>
      </c>
      <c r="W44" s="205" t="s">
        <v>1769</v>
      </c>
      <c r="X44" s="205" t="s">
        <v>1769</v>
      </c>
      <c r="Y44" s="208" t="s">
        <v>1769</v>
      </c>
      <c r="Z44" s="205" t="s">
        <v>254</v>
      </c>
      <c r="AA44" s="205" t="s">
        <v>1769</v>
      </c>
      <c r="AB44" s="205" t="s">
        <v>254</v>
      </c>
      <c r="AC44" s="205" t="s">
        <v>163</v>
      </c>
      <c r="AD44" s="209" t="s">
        <v>323</v>
      </c>
      <c r="AE44" s="246" t="s">
        <v>1769</v>
      </c>
      <c r="AF44" s="246">
        <v>171800</v>
      </c>
      <c r="AG44" s="246">
        <v>215700</v>
      </c>
      <c r="AH44" s="246" t="s">
        <v>1769</v>
      </c>
      <c r="AI44" s="246" t="s">
        <v>1769</v>
      </c>
      <c r="AJ44" s="246" t="s">
        <v>1769</v>
      </c>
    </row>
    <row r="45" spans="1:36">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08" t="s">
        <v>1769</v>
      </c>
      <c r="P45" s="209" t="s">
        <v>1224</v>
      </c>
      <c r="Q45" s="205" t="s">
        <v>1769</v>
      </c>
      <c r="R45" s="211" t="s">
        <v>570</v>
      </c>
      <c r="S45" s="205" t="s">
        <v>1181</v>
      </c>
      <c r="T45" s="210" t="s">
        <v>1769</v>
      </c>
      <c r="U45" s="206" t="s">
        <v>1769</v>
      </c>
      <c r="V45" s="206" t="s">
        <v>1769</v>
      </c>
      <c r="W45" s="205" t="s">
        <v>1769</v>
      </c>
      <c r="X45" s="205" t="s">
        <v>1769</v>
      </c>
      <c r="Y45" s="208"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row>
    <row r="46" spans="1:36">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66" t="s">
        <v>1770</v>
      </c>
      <c r="M46" s="205" t="s">
        <v>1769</v>
      </c>
      <c r="N46" s="205" t="s">
        <v>1769</v>
      </c>
      <c r="O46" s="212" t="s">
        <v>1769</v>
      </c>
      <c r="P46" s="205" t="s">
        <v>1224</v>
      </c>
      <c r="Q46" s="205" t="s">
        <v>1769</v>
      </c>
      <c r="R46" s="211" t="s">
        <v>630</v>
      </c>
      <c r="S46" s="205" t="s">
        <v>1175</v>
      </c>
      <c r="T46" s="205" t="s">
        <v>1769</v>
      </c>
      <c r="U46" s="205" t="s">
        <v>1769</v>
      </c>
      <c r="V46" s="205" t="s">
        <v>1769</v>
      </c>
      <c r="W46" s="205" t="s">
        <v>1769</v>
      </c>
      <c r="X46" s="205" t="s">
        <v>1769</v>
      </c>
      <c r="Y46" s="212" t="s">
        <v>1769</v>
      </c>
      <c r="Z46" s="205" t="s">
        <v>254</v>
      </c>
      <c r="AA46" s="205" t="s">
        <v>1769</v>
      </c>
      <c r="AB46" s="205" t="s">
        <v>254</v>
      </c>
      <c r="AC46" s="205" t="s">
        <v>1769</v>
      </c>
      <c r="AD46" s="205" t="s">
        <v>1769</v>
      </c>
      <c r="AE46" s="246" t="s">
        <v>1769</v>
      </c>
      <c r="AF46" s="246" t="s">
        <v>1769</v>
      </c>
      <c r="AG46" s="246" t="s">
        <v>1769</v>
      </c>
      <c r="AH46" s="246" t="s">
        <v>1769</v>
      </c>
      <c r="AI46" s="246" t="s">
        <v>1769</v>
      </c>
      <c r="AJ46" s="246" t="s">
        <v>1769</v>
      </c>
    </row>
    <row r="47" spans="1:36">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66" t="s">
        <v>1770</v>
      </c>
      <c r="M47" s="205" t="s">
        <v>1769</v>
      </c>
      <c r="N47" s="205" t="s">
        <v>1769</v>
      </c>
      <c r="O47" s="220" t="s">
        <v>1769</v>
      </c>
      <c r="P47" s="209" t="s">
        <v>400</v>
      </c>
      <c r="Q47" s="205" t="s">
        <v>1769</v>
      </c>
      <c r="R47" s="211" t="s">
        <v>570</v>
      </c>
      <c r="S47" s="205" t="s">
        <v>1175</v>
      </c>
      <c r="T47" s="205" t="s">
        <v>1769</v>
      </c>
      <c r="U47" s="205" t="s">
        <v>1769</v>
      </c>
      <c r="V47" s="205" t="s">
        <v>1769</v>
      </c>
      <c r="W47" s="205" t="s">
        <v>1769</v>
      </c>
      <c r="X47" s="205" t="s">
        <v>1769</v>
      </c>
      <c r="Y47" s="220" t="s">
        <v>1769</v>
      </c>
      <c r="Z47" s="205" t="s">
        <v>254</v>
      </c>
      <c r="AA47" s="205" t="s">
        <v>1769</v>
      </c>
      <c r="AB47" s="205" t="s">
        <v>254</v>
      </c>
      <c r="AC47" s="205" t="s">
        <v>1769</v>
      </c>
      <c r="AD47" s="205" t="s">
        <v>1769</v>
      </c>
      <c r="AE47" s="246" t="s">
        <v>1769</v>
      </c>
      <c r="AF47" s="246" t="s">
        <v>1769</v>
      </c>
      <c r="AG47" s="246" t="s">
        <v>1769</v>
      </c>
      <c r="AH47" s="246" t="s">
        <v>1769</v>
      </c>
      <c r="AI47" s="246" t="s">
        <v>1769</v>
      </c>
      <c r="AJ47" s="246" t="s">
        <v>1769</v>
      </c>
    </row>
    <row r="48" spans="1:36">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462</v>
      </c>
      <c r="M48" s="206" t="s">
        <v>1776</v>
      </c>
      <c r="N48" s="181">
        <v>42489</v>
      </c>
      <c r="O48" s="212">
        <v>74412</v>
      </c>
      <c r="P48" s="205" t="s">
        <v>1224</v>
      </c>
      <c r="Q48" s="205" t="s">
        <v>1769</v>
      </c>
      <c r="R48" s="211" t="s">
        <v>630</v>
      </c>
      <c r="S48" s="205" t="s">
        <v>1175</v>
      </c>
      <c r="T48" s="205" t="s">
        <v>1769</v>
      </c>
      <c r="U48" s="205" t="s">
        <v>1769</v>
      </c>
      <c r="V48" s="205" t="s">
        <v>1769</v>
      </c>
      <c r="W48" s="205" t="s">
        <v>1769</v>
      </c>
      <c r="X48" s="205" t="s">
        <v>1769</v>
      </c>
      <c r="Y48" s="212" t="s">
        <v>1769</v>
      </c>
      <c r="Z48" s="205" t="s">
        <v>254</v>
      </c>
      <c r="AA48" s="205" t="s">
        <v>1769</v>
      </c>
      <c r="AB48" s="205" t="s">
        <v>254</v>
      </c>
      <c r="AC48" s="205" t="s">
        <v>1769</v>
      </c>
      <c r="AD48" s="205" t="s">
        <v>1769</v>
      </c>
      <c r="AE48" s="246" t="s">
        <v>1769</v>
      </c>
      <c r="AF48" s="246" t="s">
        <v>1769</v>
      </c>
      <c r="AG48" s="246" t="s">
        <v>1769</v>
      </c>
      <c r="AH48" s="246" t="s">
        <v>1769</v>
      </c>
      <c r="AI48" s="246" t="s">
        <v>1769</v>
      </c>
      <c r="AJ48" s="246" t="s">
        <v>1769</v>
      </c>
    </row>
    <row r="49" spans="1:36">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22" t="s">
        <v>1769</v>
      </c>
      <c r="N49" s="206" t="s">
        <v>1769</v>
      </c>
      <c r="O49" s="208" t="s">
        <v>1769</v>
      </c>
      <c r="P49" s="209" t="s">
        <v>1224</v>
      </c>
      <c r="Q49" s="205" t="s">
        <v>1769</v>
      </c>
      <c r="R49" s="211" t="s">
        <v>570</v>
      </c>
      <c r="S49" s="205" t="s">
        <v>1181</v>
      </c>
      <c r="T49" s="210" t="s">
        <v>1769</v>
      </c>
      <c r="U49" s="206" t="s">
        <v>1769</v>
      </c>
      <c r="V49" s="206" t="s">
        <v>1769</v>
      </c>
      <c r="W49" s="205" t="s">
        <v>1769</v>
      </c>
      <c r="X49" s="205" t="s">
        <v>1769</v>
      </c>
      <c r="Y49" s="208"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row>
    <row r="50" spans="1:36">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08" t="s">
        <v>1769</v>
      </c>
      <c r="P50" s="209" t="s">
        <v>1224</v>
      </c>
      <c r="Q50" s="205" t="s">
        <v>1769</v>
      </c>
      <c r="R50" s="211" t="s">
        <v>570</v>
      </c>
      <c r="S50" s="205" t="s">
        <v>1181</v>
      </c>
      <c r="T50" s="210" t="s">
        <v>1769</v>
      </c>
      <c r="U50" s="206" t="s">
        <v>1769</v>
      </c>
      <c r="V50" s="206" t="s">
        <v>1769</v>
      </c>
      <c r="W50" s="205" t="s">
        <v>1769</v>
      </c>
      <c r="X50" s="205" t="s">
        <v>1769</v>
      </c>
      <c r="Y50" s="208"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row>
    <row r="51" spans="1:36">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08" t="s">
        <v>1769</v>
      </c>
      <c r="P51" s="209" t="s">
        <v>1224</v>
      </c>
      <c r="Q51" s="205" t="s">
        <v>1769</v>
      </c>
      <c r="R51" s="211" t="s">
        <v>570</v>
      </c>
      <c r="S51" s="205" t="s">
        <v>1181</v>
      </c>
      <c r="T51" s="210" t="s">
        <v>1769</v>
      </c>
      <c r="U51" s="206" t="s">
        <v>1769</v>
      </c>
      <c r="V51" s="206" t="s">
        <v>1769</v>
      </c>
      <c r="W51" s="205" t="s">
        <v>1769</v>
      </c>
      <c r="X51" s="205" t="s">
        <v>1769</v>
      </c>
      <c r="Y51" s="208"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row>
    <row r="52" spans="1:36">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08" t="s">
        <v>1769</v>
      </c>
      <c r="P52" s="209" t="s">
        <v>1224</v>
      </c>
      <c r="Q52" s="205" t="s">
        <v>1769</v>
      </c>
      <c r="R52" s="211" t="s">
        <v>570</v>
      </c>
      <c r="S52" s="205" t="s">
        <v>1181</v>
      </c>
      <c r="T52" s="210" t="s">
        <v>1769</v>
      </c>
      <c r="U52" s="206" t="s">
        <v>1769</v>
      </c>
      <c r="V52" s="206" t="s">
        <v>1769</v>
      </c>
      <c r="W52" s="205" t="s">
        <v>1769</v>
      </c>
      <c r="X52" s="205" t="s">
        <v>1769</v>
      </c>
      <c r="Y52" s="208"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row>
    <row r="53" spans="1:36">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08" t="s">
        <v>1769</v>
      </c>
      <c r="P53" s="209" t="s">
        <v>1224</v>
      </c>
      <c r="Q53" s="205" t="s">
        <v>1769</v>
      </c>
      <c r="R53" s="211" t="s">
        <v>1504</v>
      </c>
      <c r="S53" s="205" t="s">
        <v>1181</v>
      </c>
      <c r="T53" s="210" t="s">
        <v>1769</v>
      </c>
      <c r="U53" s="206" t="s">
        <v>1769</v>
      </c>
      <c r="V53" s="206" t="s">
        <v>1769</v>
      </c>
      <c r="W53" s="205" t="s">
        <v>1769</v>
      </c>
      <c r="X53" s="205" t="s">
        <v>1769</v>
      </c>
      <c r="Y53" s="208"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row>
    <row r="54" spans="1:36">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08" t="s">
        <v>1769</v>
      </c>
      <c r="P54" s="209" t="s">
        <v>1224</v>
      </c>
      <c r="Q54" s="205" t="s">
        <v>1769</v>
      </c>
      <c r="R54" s="211" t="s">
        <v>551</v>
      </c>
      <c r="S54" s="205" t="s">
        <v>1175</v>
      </c>
      <c r="T54" s="210" t="s">
        <v>1769</v>
      </c>
      <c r="U54" s="206" t="s">
        <v>1769</v>
      </c>
      <c r="V54" s="206" t="s">
        <v>1769</v>
      </c>
      <c r="W54" s="205" t="s">
        <v>1769</v>
      </c>
      <c r="X54" s="205" t="s">
        <v>1769</v>
      </c>
      <c r="Y54" s="208" t="s">
        <v>1769</v>
      </c>
      <c r="Z54" s="205" t="s">
        <v>254</v>
      </c>
      <c r="AA54" s="205" t="s">
        <v>1769</v>
      </c>
      <c r="AB54" s="205" t="s">
        <v>254</v>
      </c>
      <c r="AC54" s="205" t="s">
        <v>163</v>
      </c>
      <c r="AD54" s="209" t="s">
        <v>323</v>
      </c>
      <c r="AE54" s="246" t="s">
        <v>1769</v>
      </c>
      <c r="AF54" s="246" t="s">
        <v>1769</v>
      </c>
      <c r="AG54" s="246" t="s">
        <v>1769</v>
      </c>
      <c r="AH54" s="246" t="s">
        <v>1769</v>
      </c>
      <c r="AI54" s="246" t="s">
        <v>1769</v>
      </c>
      <c r="AJ54" s="246" t="s">
        <v>1769</v>
      </c>
    </row>
    <row r="55" spans="1:36"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08" t="s">
        <v>1769</v>
      </c>
      <c r="P55" s="209" t="s">
        <v>1224</v>
      </c>
      <c r="Q55" s="205" t="s">
        <v>1205</v>
      </c>
      <c r="R55" s="211" t="s">
        <v>405</v>
      </c>
      <c r="S55" s="205" t="s">
        <v>1175</v>
      </c>
      <c r="T55" s="210" t="s">
        <v>1312</v>
      </c>
      <c r="U55" s="206" t="s">
        <v>1769</v>
      </c>
      <c r="V55" s="206" t="s">
        <v>1769</v>
      </c>
      <c r="W55" s="205" t="s">
        <v>1769</v>
      </c>
      <c r="X55" s="205" t="s">
        <v>1769</v>
      </c>
      <c r="Y55" s="208" t="s">
        <v>1769</v>
      </c>
      <c r="Z55" s="205" t="s">
        <v>254</v>
      </c>
      <c r="AA55" s="205" t="s">
        <v>1769</v>
      </c>
      <c r="AB55" s="205" t="s">
        <v>254</v>
      </c>
      <c r="AC55" s="205" t="s">
        <v>163</v>
      </c>
      <c r="AD55" s="209" t="s">
        <v>323</v>
      </c>
      <c r="AE55" s="246" t="s">
        <v>1769</v>
      </c>
      <c r="AF55" s="246">
        <v>662300</v>
      </c>
      <c r="AG55" s="246">
        <v>735100</v>
      </c>
      <c r="AH55" s="246" t="s">
        <v>1769</v>
      </c>
      <c r="AI55" s="246" t="s">
        <v>1769</v>
      </c>
      <c r="AJ55" s="246" t="s">
        <v>1769</v>
      </c>
    </row>
    <row r="56" spans="1:36">
      <c r="A56" s="209">
        <v>8217</v>
      </c>
      <c r="B56" s="209" t="s">
        <v>1421</v>
      </c>
      <c r="C56" s="253" t="s">
        <v>1206</v>
      </c>
      <c r="D56" s="206" t="str">
        <f t="shared" si="0"/>
        <v>三河100か8217</v>
      </c>
      <c r="E56" s="210" t="s">
        <v>1426</v>
      </c>
      <c r="F56" s="209" t="s">
        <v>577</v>
      </c>
      <c r="G56" s="210" t="s">
        <v>1266</v>
      </c>
      <c r="H56" s="209" t="s">
        <v>266</v>
      </c>
      <c r="I56" s="210" t="s">
        <v>1427</v>
      </c>
      <c r="J56" s="210" t="s">
        <v>1428</v>
      </c>
      <c r="K56" s="210" t="s">
        <v>180</v>
      </c>
      <c r="L56" s="265" t="s">
        <v>162</v>
      </c>
      <c r="M56" s="206" t="s">
        <v>1769</v>
      </c>
      <c r="N56" s="206" t="s">
        <v>1769</v>
      </c>
      <c r="O56" s="208" t="s">
        <v>1769</v>
      </c>
      <c r="P56" s="209" t="s">
        <v>1224</v>
      </c>
      <c r="Q56" s="205" t="s">
        <v>1205</v>
      </c>
      <c r="R56" s="211" t="s">
        <v>1769</v>
      </c>
      <c r="S56" s="205" t="s">
        <v>1175</v>
      </c>
      <c r="T56" s="210" t="s">
        <v>1425</v>
      </c>
      <c r="U56" s="206" t="s">
        <v>1769</v>
      </c>
      <c r="V56" s="206" t="s">
        <v>1769</v>
      </c>
      <c r="W56" s="205" t="s">
        <v>1769</v>
      </c>
      <c r="X56" s="205" t="s">
        <v>1769</v>
      </c>
      <c r="Y56" s="208" t="s">
        <v>1769</v>
      </c>
      <c r="Z56" s="205" t="s">
        <v>254</v>
      </c>
      <c r="AA56" s="205" t="s">
        <v>1769</v>
      </c>
      <c r="AB56" s="205" t="s">
        <v>254</v>
      </c>
      <c r="AC56" s="205" t="s">
        <v>163</v>
      </c>
      <c r="AD56" s="209" t="s">
        <v>323</v>
      </c>
      <c r="AE56" s="246" t="s">
        <v>1769</v>
      </c>
      <c r="AF56" s="246">
        <v>151300</v>
      </c>
      <c r="AG56" s="246">
        <v>172200</v>
      </c>
      <c r="AH56" s="246" t="s">
        <v>1769</v>
      </c>
      <c r="AI56" s="246" t="s">
        <v>1769</v>
      </c>
      <c r="AJ56" s="246" t="s">
        <v>1769</v>
      </c>
    </row>
    <row r="57" spans="1:36">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08" t="s">
        <v>1769</v>
      </c>
      <c r="P57" s="209" t="s">
        <v>1224</v>
      </c>
      <c r="Q57" s="205" t="s">
        <v>1205</v>
      </c>
      <c r="R57" s="211" t="s">
        <v>1769</v>
      </c>
      <c r="S57" s="205" t="s">
        <v>1181</v>
      </c>
      <c r="T57" s="210" t="s">
        <v>1226</v>
      </c>
      <c r="U57" s="206" t="s">
        <v>1769</v>
      </c>
      <c r="V57" s="206" t="s">
        <v>1769</v>
      </c>
      <c r="W57" s="205" t="s">
        <v>1769</v>
      </c>
      <c r="X57" s="205" t="s">
        <v>1769</v>
      </c>
      <c r="Y57" s="208"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row>
    <row r="58" spans="1:36">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08" t="s">
        <v>1769</v>
      </c>
      <c r="P58" s="209" t="s">
        <v>1224</v>
      </c>
      <c r="Q58" s="205" t="s">
        <v>1205</v>
      </c>
      <c r="R58" s="211" t="s">
        <v>1769</v>
      </c>
      <c r="S58" s="205" t="s">
        <v>1181</v>
      </c>
      <c r="T58" s="210" t="s">
        <v>1226</v>
      </c>
      <c r="U58" s="206" t="s">
        <v>1769</v>
      </c>
      <c r="V58" s="206" t="s">
        <v>1769</v>
      </c>
      <c r="W58" s="205" t="s">
        <v>1769</v>
      </c>
      <c r="X58" s="205" t="s">
        <v>1769</v>
      </c>
      <c r="Y58" s="208"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row>
    <row r="59" spans="1:36">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08" t="s">
        <v>1769</v>
      </c>
      <c r="P59" s="209" t="s">
        <v>1224</v>
      </c>
      <c r="Q59" s="205" t="s">
        <v>1205</v>
      </c>
      <c r="R59" s="211" t="s">
        <v>1769</v>
      </c>
      <c r="S59" s="205" t="s">
        <v>1181</v>
      </c>
      <c r="T59" s="210" t="s">
        <v>1425</v>
      </c>
      <c r="U59" s="206" t="s">
        <v>1769</v>
      </c>
      <c r="V59" s="206" t="s">
        <v>1769</v>
      </c>
      <c r="W59" s="205" t="s">
        <v>1769</v>
      </c>
      <c r="X59" s="205" t="s">
        <v>1769</v>
      </c>
      <c r="Y59" s="208"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row>
    <row r="60" spans="1:36">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08" t="s">
        <v>1769</v>
      </c>
      <c r="P60" s="209" t="s">
        <v>1224</v>
      </c>
      <c r="Q60" s="205" t="s">
        <v>1205</v>
      </c>
      <c r="R60" s="211" t="s">
        <v>1769</v>
      </c>
      <c r="S60" s="205" t="s">
        <v>1181</v>
      </c>
      <c r="T60" s="210" t="s">
        <v>1226</v>
      </c>
      <c r="U60" s="206" t="s">
        <v>1769</v>
      </c>
      <c r="V60" s="206" t="s">
        <v>1769</v>
      </c>
      <c r="W60" s="205" t="s">
        <v>1769</v>
      </c>
      <c r="X60" s="205" t="s">
        <v>1769</v>
      </c>
      <c r="Y60" s="208"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row>
    <row r="61" spans="1:36">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08" t="s">
        <v>1769</v>
      </c>
      <c r="P61" s="209" t="s">
        <v>400</v>
      </c>
      <c r="Q61" s="205" t="s">
        <v>401</v>
      </c>
      <c r="R61" s="211" t="s">
        <v>585</v>
      </c>
      <c r="S61" s="205" t="s">
        <v>1175</v>
      </c>
      <c r="T61" s="210" t="s">
        <v>1312</v>
      </c>
      <c r="U61" s="206" t="s">
        <v>1769</v>
      </c>
      <c r="V61" s="206" t="s">
        <v>1769</v>
      </c>
      <c r="W61" s="205" t="s">
        <v>1769</v>
      </c>
      <c r="X61" s="205" t="s">
        <v>1769</v>
      </c>
      <c r="Y61" s="208" t="s">
        <v>1769</v>
      </c>
      <c r="Z61" s="205" t="s">
        <v>254</v>
      </c>
      <c r="AA61" s="205" t="s">
        <v>1769</v>
      </c>
      <c r="AB61" s="205" t="s">
        <v>254</v>
      </c>
      <c r="AC61" s="205" t="s">
        <v>163</v>
      </c>
      <c r="AD61" s="209" t="s">
        <v>323</v>
      </c>
      <c r="AE61" s="246" t="s">
        <v>1769</v>
      </c>
      <c r="AF61" s="246">
        <v>374700</v>
      </c>
      <c r="AG61" s="246">
        <v>486400</v>
      </c>
      <c r="AH61" s="246" t="s">
        <v>1769</v>
      </c>
      <c r="AI61" s="246" t="s">
        <v>1769</v>
      </c>
      <c r="AJ61" s="246" t="s">
        <v>1769</v>
      </c>
    </row>
    <row r="62" spans="1:36">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66" t="s">
        <v>1770</v>
      </c>
      <c r="M62" s="205" t="s">
        <v>1769</v>
      </c>
      <c r="N62" s="205" t="s">
        <v>1769</v>
      </c>
      <c r="O62" s="212" t="s">
        <v>1769</v>
      </c>
      <c r="P62" s="205" t="s">
        <v>1224</v>
      </c>
      <c r="Q62" s="205" t="s">
        <v>1205</v>
      </c>
      <c r="R62" s="205" t="s">
        <v>1769</v>
      </c>
      <c r="S62" s="205" t="s">
        <v>1175</v>
      </c>
      <c r="T62" s="205" t="s">
        <v>1769</v>
      </c>
      <c r="U62" s="205" t="s">
        <v>1769</v>
      </c>
      <c r="V62" s="205" t="s">
        <v>1769</v>
      </c>
      <c r="W62" s="205" t="s">
        <v>1769</v>
      </c>
      <c r="X62" s="205" t="s">
        <v>1769</v>
      </c>
      <c r="Y62" s="212" t="s">
        <v>1769</v>
      </c>
      <c r="Z62" s="205" t="s">
        <v>254</v>
      </c>
      <c r="AA62" s="205" t="s">
        <v>1769</v>
      </c>
      <c r="AB62" s="205" t="s">
        <v>254</v>
      </c>
      <c r="AC62" s="205" t="s">
        <v>1769</v>
      </c>
      <c r="AD62" s="205" t="s">
        <v>1769</v>
      </c>
      <c r="AE62" s="246" t="s">
        <v>1769</v>
      </c>
      <c r="AF62" s="246">
        <v>983700</v>
      </c>
      <c r="AG62" s="246">
        <v>83400</v>
      </c>
      <c r="AH62" s="246" t="s">
        <v>1769</v>
      </c>
      <c r="AI62" s="246" t="s">
        <v>1769</v>
      </c>
      <c r="AJ62" s="246" t="s">
        <v>1769</v>
      </c>
    </row>
    <row r="63" spans="1:36"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462</v>
      </c>
      <c r="M63" s="206" t="s">
        <v>1776</v>
      </c>
      <c r="N63" s="181">
        <v>42547</v>
      </c>
      <c r="O63" s="212">
        <v>205485</v>
      </c>
      <c r="P63" s="205" t="s">
        <v>1224</v>
      </c>
      <c r="Q63" s="205" t="s">
        <v>1205</v>
      </c>
      <c r="R63" s="213">
        <v>5098</v>
      </c>
      <c r="S63" s="205" t="s">
        <v>1175</v>
      </c>
      <c r="T63" s="205" t="s">
        <v>1769</v>
      </c>
      <c r="U63" s="205" t="s">
        <v>1769</v>
      </c>
      <c r="V63" s="205" t="s">
        <v>1769</v>
      </c>
      <c r="W63" s="205" t="s">
        <v>1769</v>
      </c>
      <c r="X63" s="205" t="s">
        <v>1769</v>
      </c>
      <c r="Y63" s="212" t="s">
        <v>1769</v>
      </c>
      <c r="Z63" s="205" t="s">
        <v>254</v>
      </c>
      <c r="AA63" s="205" t="s">
        <v>1769</v>
      </c>
      <c r="AB63" s="205" t="s">
        <v>254</v>
      </c>
      <c r="AC63" s="205" t="s">
        <v>1769</v>
      </c>
      <c r="AD63" s="205" t="s">
        <v>1769</v>
      </c>
      <c r="AE63" s="246" t="s">
        <v>1769</v>
      </c>
      <c r="AF63" s="246">
        <v>174100</v>
      </c>
      <c r="AG63" s="246">
        <v>303800</v>
      </c>
      <c r="AH63" s="246" t="s">
        <v>1769</v>
      </c>
      <c r="AI63" s="246" t="s">
        <v>1769</v>
      </c>
      <c r="AJ63" s="246" t="s">
        <v>1769</v>
      </c>
    </row>
    <row r="64" spans="1:36">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462</v>
      </c>
      <c r="M64" s="206" t="s">
        <v>1776</v>
      </c>
      <c r="N64" s="181">
        <v>42730</v>
      </c>
      <c r="O64" s="212">
        <v>160440</v>
      </c>
      <c r="P64" s="205" t="s">
        <v>1224</v>
      </c>
      <c r="Q64" s="205" t="s">
        <v>1205</v>
      </c>
      <c r="R64" s="205" t="s">
        <v>1769</v>
      </c>
      <c r="S64" s="205" t="s">
        <v>1175</v>
      </c>
      <c r="T64" s="205" t="s">
        <v>1769</v>
      </c>
      <c r="U64" s="205" t="s">
        <v>1769</v>
      </c>
      <c r="V64" s="205" t="s">
        <v>1769</v>
      </c>
      <c r="W64" s="205" t="s">
        <v>1769</v>
      </c>
      <c r="X64" s="205" t="s">
        <v>1769</v>
      </c>
      <c r="Y64" s="212" t="s">
        <v>1769</v>
      </c>
      <c r="Z64" s="205" t="s">
        <v>254</v>
      </c>
      <c r="AA64" s="205" t="s">
        <v>1769</v>
      </c>
      <c r="AB64" s="205" t="s">
        <v>254</v>
      </c>
      <c r="AC64" s="205" t="s">
        <v>1769</v>
      </c>
      <c r="AD64" s="205" t="s">
        <v>1769</v>
      </c>
      <c r="AE64" s="246">
        <v>674400</v>
      </c>
      <c r="AF64" s="246">
        <v>701500</v>
      </c>
      <c r="AG64" s="246" t="s">
        <v>1769</v>
      </c>
      <c r="AH64" s="246" t="s">
        <v>1769</v>
      </c>
      <c r="AI64" s="246" t="s">
        <v>1769</v>
      </c>
      <c r="AJ64" s="246" t="s">
        <v>1769</v>
      </c>
    </row>
    <row r="65" spans="1:36"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462</v>
      </c>
      <c r="M65" s="206" t="s">
        <v>1776</v>
      </c>
      <c r="N65" s="181">
        <v>43672</v>
      </c>
      <c r="O65" s="212">
        <v>133380</v>
      </c>
      <c r="P65" s="205" t="s">
        <v>1224</v>
      </c>
      <c r="Q65" s="205" t="s">
        <v>1205</v>
      </c>
      <c r="R65" s="213">
        <v>5098</v>
      </c>
      <c r="S65" s="205" t="s">
        <v>1175</v>
      </c>
      <c r="T65" s="205" t="s">
        <v>1769</v>
      </c>
      <c r="U65" s="205" t="s">
        <v>1769</v>
      </c>
      <c r="V65" s="205" t="s">
        <v>1769</v>
      </c>
      <c r="W65" s="205" t="s">
        <v>1769</v>
      </c>
      <c r="X65" s="205" t="s">
        <v>1769</v>
      </c>
      <c r="Y65" s="212" t="s">
        <v>1769</v>
      </c>
      <c r="Z65" s="205" t="s">
        <v>254</v>
      </c>
      <c r="AA65" s="205" t="s">
        <v>1769</v>
      </c>
      <c r="AB65" s="205" t="s">
        <v>254</v>
      </c>
      <c r="AC65" s="205" t="s">
        <v>1769</v>
      </c>
      <c r="AD65" s="205" t="s">
        <v>1769</v>
      </c>
      <c r="AE65" s="246">
        <v>371200</v>
      </c>
      <c r="AF65" s="246" t="s">
        <v>1769</v>
      </c>
      <c r="AG65" s="246">
        <v>510700</v>
      </c>
      <c r="AH65" s="246" t="s">
        <v>1769</v>
      </c>
      <c r="AI65" s="246" t="s">
        <v>1769</v>
      </c>
      <c r="AJ65" s="246" t="s">
        <v>1769</v>
      </c>
    </row>
    <row r="66" spans="1:36"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08" t="s">
        <v>1769</v>
      </c>
      <c r="P66" s="209" t="s">
        <v>1224</v>
      </c>
      <c r="Q66" s="205" t="s">
        <v>1205</v>
      </c>
      <c r="R66" s="211" t="s">
        <v>405</v>
      </c>
      <c r="S66" s="205" t="s">
        <v>1175</v>
      </c>
      <c r="T66" s="210" t="s">
        <v>1312</v>
      </c>
      <c r="U66" s="206" t="s">
        <v>1769</v>
      </c>
      <c r="V66" s="206" t="s">
        <v>1769</v>
      </c>
      <c r="W66" s="205" t="s">
        <v>1769</v>
      </c>
      <c r="X66" s="205" t="s">
        <v>1769</v>
      </c>
      <c r="Y66" s="208" t="s">
        <v>1769</v>
      </c>
      <c r="Z66" s="205" t="s">
        <v>254</v>
      </c>
      <c r="AA66" s="205" t="s">
        <v>1769</v>
      </c>
      <c r="AB66" s="205" t="s">
        <v>254</v>
      </c>
      <c r="AC66" s="205" t="s">
        <v>163</v>
      </c>
      <c r="AD66" s="209" t="s">
        <v>323</v>
      </c>
      <c r="AE66" s="246" t="s">
        <v>1769</v>
      </c>
      <c r="AF66" s="246">
        <v>422400</v>
      </c>
      <c r="AG66" s="246">
        <v>529300</v>
      </c>
      <c r="AH66" s="246" t="s">
        <v>1769</v>
      </c>
      <c r="AI66" s="246" t="s">
        <v>1769</v>
      </c>
      <c r="AJ66" s="246" t="s">
        <v>1769</v>
      </c>
    </row>
    <row r="67" spans="1:36">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08" t="s">
        <v>1769</v>
      </c>
      <c r="P67" s="209" t="s">
        <v>1224</v>
      </c>
      <c r="Q67" s="205" t="s">
        <v>1205</v>
      </c>
      <c r="R67" s="211" t="s">
        <v>1769</v>
      </c>
      <c r="S67" s="205" t="s">
        <v>1175</v>
      </c>
      <c r="T67" s="210" t="s">
        <v>1312</v>
      </c>
      <c r="U67" s="206" t="s">
        <v>1769</v>
      </c>
      <c r="V67" s="206" t="s">
        <v>1769</v>
      </c>
      <c r="W67" s="205" t="s">
        <v>1769</v>
      </c>
      <c r="X67" s="205" t="s">
        <v>1769</v>
      </c>
      <c r="Y67" s="208" t="s">
        <v>1769</v>
      </c>
      <c r="Z67" s="205" t="s">
        <v>254</v>
      </c>
      <c r="AA67" s="205" t="s">
        <v>1769</v>
      </c>
      <c r="AB67" s="205" t="s">
        <v>254</v>
      </c>
      <c r="AC67" s="205" t="s">
        <v>163</v>
      </c>
      <c r="AD67" s="209" t="s">
        <v>1317</v>
      </c>
      <c r="AE67" s="246" t="s">
        <v>1769</v>
      </c>
      <c r="AF67" s="246">
        <v>847200</v>
      </c>
      <c r="AG67" s="246">
        <v>866500</v>
      </c>
      <c r="AH67" s="246" t="s">
        <v>1769</v>
      </c>
      <c r="AI67" s="246" t="s">
        <v>1769</v>
      </c>
      <c r="AJ67" s="246" t="s">
        <v>1769</v>
      </c>
    </row>
    <row r="68" spans="1:36"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66" t="s">
        <v>1770</v>
      </c>
      <c r="M68" s="205" t="s">
        <v>1769</v>
      </c>
      <c r="N68" s="205" t="s">
        <v>1769</v>
      </c>
      <c r="O68" s="212" t="s">
        <v>1769</v>
      </c>
      <c r="P68" s="205" t="s">
        <v>1224</v>
      </c>
      <c r="Q68" s="205" t="s">
        <v>1205</v>
      </c>
      <c r="R68" s="213">
        <v>4005056</v>
      </c>
      <c r="S68" s="205" t="s">
        <v>1175</v>
      </c>
      <c r="T68" s="205" t="s">
        <v>1769</v>
      </c>
      <c r="U68" s="205" t="s">
        <v>1769</v>
      </c>
      <c r="V68" s="205" t="s">
        <v>1769</v>
      </c>
      <c r="W68" s="205" t="s">
        <v>1769</v>
      </c>
      <c r="X68" s="205" t="s">
        <v>1769</v>
      </c>
      <c r="Y68" s="212" t="s">
        <v>1769</v>
      </c>
      <c r="Z68" s="205" t="s">
        <v>254</v>
      </c>
      <c r="AA68" s="205" t="s">
        <v>1769</v>
      </c>
      <c r="AB68" s="205" t="s">
        <v>254</v>
      </c>
      <c r="AC68" s="205" t="s">
        <v>1769</v>
      </c>
      <c r="AD68" s="205" t="s">
        <v>1769</v>
      </c>
      <c r="AE68" s="246" t="s">
        <v>1769</v>
      </c>
      <c r="AF68" s="246" t="s">
        <v>1769</v>
      </c>
      <c r="AG68" s="246" t="s">
        <v>1769</v>
      </c>
      <c r="AH68" s="246" t="s">
        <v>1769</v>
      </c>
      <c r="AI68" s="246" t="s">
        <v>1769</v>
      </c>
      <c r="AJ68" s="246" t="s">
        <v>1769</v>
      </c>
    </row>
    <row r="69" spans="1:36">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08" t="s">
        <v>1769</v>
      </c>
      <c r="P69" s="209" t="s">
        <v>1224</v>
      </c>
      <c r="Q69" s="205" t="s">
        <v>1205</v>
      </c>
      <c r="R69" s="211" t="s">
        <v>1769</v>
      </c>
      <c r="S69" s="205" t="s">
        <v>1175</v>
      </c>
      <c r="T69" s="210" t="s">
        <v>1425</v>
      </c>
      <c r="U69" s="206" t="s">
        <v>1769</v>
      </c>
      <c r="V69" s="206" t="s">
        <v>1769</v>
      </c>
      <c r="W69" s="205" t="s">
        <v>1769</v>
      </c>
      <c r="X69" s="205" t="s">
        <v>1769</v>
      </c>
      <c r="Y69" s="208" t="s">
        <v>1769</v>
      </c>
      <c r="Z69" s="205" t="s">
        <v>254</v>
      </c>
      <c r="AA69" s="205" t="s">
        <v>1769</v>
      </c>
      <c r="AB69" s="205" t="s">
        <v>254</v>
      </c>
      <c r="AC69" s="205" t="s">
        <v>163</v>
      </c>
      <c r="AD69" s="209" t="s">
        <v>323</v>
      </c>
      <c r="AE69" s="246">
        <v>1001700</v>
      </c>
      <c r="AF69" s="246">
        <v>1023900</v>
      </c>
      <c r="AG69" s="246" t="s">
        <v>1769</v>
      </c>
      <c r="AH69" s="246" t="s">
        <v>1769</v>
      </c>
      <c r="AI69" s="246" t="s">
        <v>1769</v>
      </c>
      <c r="AJ69" s="246" t="s">
        <v>1769</v>
      </c>
    </row>
    <row r="70" spans="1:36">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08" t="s">
        <v>1769</v>
      </c>
      <c r="P70" s="209" t="s">
        <v>1224</v>
      </c>
      <c r="Q70" s="205" t="s">
        <v>1205</v>
      </c>
      <c r="R70" s="211" t="s">
        <v>1769</v>
      </c>
      <c r="S70" s="205" t="s">
        <v>1175</v>
      </c>
      <c r="T70" s="210" t="s">
        <v>1425</v>
      </c>
      <c r="U70" s="206" t="s">
        <v>1769</v>
      </c>
      <c r="V70" s="206" t="s">
        <v>1769</v>
      </c>
      <c r="W70" s="205" t="s">
        <v>1769</v>
      </c>
      <c r="X70" s="205" t="s">
        <v>1769</v>
      </c>
      <c r="Y70" s="208" t="s">
        <v>1769</v>
      </c>
      <c r="Z70" s="205" t="s">
        <v>254</v>
      </c>
      <c r="AA70" s="205" t="s">
        <v>1769</v>
      </c>
      <c r="AB70" s="205" t="s">
        <v>254</v>
      </c>
      <c r="AC70" s="205" t="s">
        <v>163</v>
      </c>
      <c r="AD70" s="209" t="s">
        <v>323</v>
      </c>
      <c r="AE70" s="246" t="s">
        <v>1769</v>
      </c>
      <c r="AF70" s="246">
        <v>522500</v>
      </c>
      <c r="AG70" s="246">
        <v>540100</v>
      </c>
      <c r="AH70" s="246" t="s">
        <v>1769</v>
      </c>
      <c r="AI70" s="246" t="s">
        <v>1769</v>
      </c>
      <c r="AJ70" s="246" t="s">
        <v>1769</v>
      </c>
    </row>
    <row r="71" spans="1:36">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08" t="s">
        <v>1769</v>
      </c>
      <c r="P71" s="209" t="s">
        <v>1224</v>
      </c>
      <c r="Q71" s="205" t="s">
        <v>1205</v>
      </c>
      <c r="R71" s="211" t="s">
        <v>1769</v>
      </c>
      <c r="S71" s="205" t="s">
        <v>1175</v>
      </c>
      <c r="T71" s="210" t="s">
        <v>1226</v>
      </c>
      <c r="U71" s="206" t="s">
        <v>1769</v>
      </c>
      <c r="V71" s="206" t="s">
        <v>1769</v>
      </c>
      <c r="W71" s="205" t="s">
        <v>1769</v>
      </c>
      <c r="X71" s="205" t="s">
        <v>1769</v>
      </c>
      <c r="Y71" s="208" t="s">
        <v>1769</v>
      </c>
      <c r="Z71" s="205" t="s">
        <v>254</v>
      </c>
      <c r="AA71" s="205" t="s">
        <v>1769</v>
      </c>
      <c r="AB71" s="205" t="s">
        <v>254</v>
      </c>
      <c r="AC71" s="205" t="s">
        <v>163</v>
      </c>
      <c r="AD71" s="209" t="s">
        <v>323</v>
      </c>
      <c r="AE71" s="246" t="s">
        <v>1769</v>
      </c>
      <c r="AF71" s="246">
        <v>352000</v>
      </c>
      <c r="AG71" s="246">
        <v>381600</v>
      </c>
      <c r="AH71" s="246" t="s">
        <v>1769</v>
      </c>
      <c r="AI71" s="246" t="s">
        <v>1769</v>
      </c>
      <c r="AJ71" s="246" t="s">
        <v>1769</v>
      </c>
    </row>
    <row r="72" spans="1:36">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08" t="s">
        <v>1769</v>
      </c>
      <c r="P72" s="209" t="s">
        <v>1224</v>
      </c>
      <c r="Q72" s="205" t="s">
        <v>1205</v>
      </c>
      <c r="R72" s="211" t="s">
        <v>1769</v>
      </c>
      <c r="S72" s="205" t="s">
        <v>1175</v>
      </c>
      <c r="T72" s="210" t="s">
        <v>1425</v>
      </c>
      <c r="U72" s="206" t="s">
        <v>1769</v>
      </c>
      <c r="V72" s="206" t="s">
        <v>1769</v>
      </c>
      <c r="W72" s="205" t="s">
        <v>1769</v>
      </c>
      <c r="X72" s="205" t="s">
        <v>1769</v>
      </c>
      <c r="Y72" s="208" t="s">
        <v>1769</v>
      </c>
      <c r="Z72" s="205" t="s">
        <v>254</v>
      </c>
      <c r="AA72" s="205" t="s">
        <v>1769</v>
      </c>
      <c r="AB72" s="205" t="s">
        <v>254</v>
      </c>
      <c r="AC72" s="205" t="s">
        <v>163</v>
      </c>
      <c r="AD72" s="209" t="s">
        <v>323</v>
      </c>
      <c r="AE72" s="246" t="s">
        <v>1769</v>
      </c>
      <c r="AF72" s="246">
        <v>360500</v>
      </c>
      <c r="AG72" s="246">
        <v>364200</v>
      </c>
      <c r="AH72" s="246" t="s">
        <v>1769</v>
      </c>
      <c r="AI72" s="246" t="s">
        <v>1769</v>
      </c>
      <c r="AJ72" s="246" t="s">
        <v>1769</v>
      </c>
    </row>
    <row r="73" spans="1:36">
      <c r="A73" s="209">
        <v>581</v>
      </c>
      <c r="B73" s="209" t="s">
        <v>1442</v>
      </c>
      <c r="C73" s="253" t="s">
        <v>1206</v>
      </c>
      <c r="D73" s="206" t="str">
        <f t="shared" si="1"/>
        <v>三河100き581</v>
      </c>
      <c r="E73" s="210" t="s">
        <v>1451</v>
      </c>
      <c r="F73" s="209" t="s">
        <v>534</v>
      </c>
      <c r="G73" s="210" t="s">
        <v>1266</v>
      </c>
      <c r="H73" s="209" t="s">
        <v>543</v>
      </c>
      <c r="I73" s="210" t="s">
        <v>1457</v>
      </c>
      <c r="J73" s="210" t="s">
        <v>1344</v>
      </c>
      <c r="K73" s="263" t="s">
        <v>177</v>
      </c>
      <c r="L73" s="265" t="s">
        <v>162</v>
      </c>
      <c r="M73" s="206" t="s">
        <v>1769</v>
      </c>
      <c r="N73" s="206" t="s">
        <v>1769</v>
      </c>
      <c r="O73" s="208" t="s">
        <v>1769</v>
      </c>
      <c r="P73" s="209" t="s">
        <v>1224</v>
      </c>
      <c r="Q73" s="205" t="s">
        <v>1205</v>
      </c>
      <c r="R73" s="211" t="s">
        <v>1769</v>
      </c>
      <c r="S73" s="205" t="s">
        <v>1175</v>
      </c>
      <c r="T73" s="210" t="s">
        <v>1425</v>
      </c>
      <c r="U73" s="206" t="s">
        <v>1769</v>
      </c>
      <c r="V73" s="206" t="s">
        <v>1769</v>
      </c>
      <c r="W73" s="205" t="s">
        <v>1769</v>
      </c>
      <c r="X73" s="205" t="s">
        <v>1769</v>
      </c>
      <c r="Y73" s="208" t="s">
        <v>1769</v>
      </c>
      <c r="Z73" s="205" t="s">
        <v>254</v>
      </c>
      <c r="AA73" s="205" t="s">
        <v>1769</v>
      </c>
      <c r="AB73" s="205" t="s">
        <v>254</v>
      </c>
      <c r="AC73" s="205" t="s">
        <v>163</v>
      </c>
      <c r="AD73" s="209" t="s">
        <v>323</v>
      </c>
      <c r="AE73" s="246">
        <v>267100</v>
      </c>
      <c r="AF73" s="246">
        <v>315800</v>
      </c>
      <c r="AG73" s="246" t="s">
        <v>1769</v>
      </c>
      <c r="AH73" s="246" t="s">
        <v>1769</v>
      </c>
      <c r="AI73" s="246" t="s">
        <v>1769</v>
      </c>
      <c r="AJ73" s="246" t="s">
        <v>1769</v>
      </c>
    </row>
    <row r="74" spans="1:36">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462</v>
      </c>
      <c r="M74" s="206" t="s">
        <v>1773</v>
      </c>
      <c r="N74" s="181">
        <v>41981</v>
      </c>
      <c r="O74" s="208">
        <v>142590</v>
      </c>
      <c r="P74" s="209" t="s">
        <v>400</v>
      </c>
      <c r="Q74" s="205" t="s">
        <v>401</v>
      </c>
      <c r="R74" s="211" t="s">
        <v>1769</v>
      </c>
      <c r="S74" s="205" t="s">
        <v>1175</v>
      </c>
      <c r="T74" s="205" t="s">
        <v>1425</v>
      </c>
      <c r="U74" s="206" t="s">
        <v>1769</v>
      </c>
      <c r="V74" s="206" t="s">
        <v>1769</v>
      </c>
      <c r="W74" s="205" t="s">
        <v>1769</v>
      </c>
      <c r="X74" s="205" t="s">
        <v>1769</v>
      </c>
      <c r="Y74" s="208" t="s">
        <v>1769</v>
      </c>
      <c r="Z74" s="205" t="s">
        <v>254</v>
      </c>
      <c r="AA74" s="205" t="s">
        <v>1769</v>
      </c>
      <c r="AB74" s="205" t="s">
        <v>254</v>
      </c>
      <c r="AC74" s="205" t="s">
        <v>163</v>
      </c>
      <c r="AD74" s="209" t="s">
        <v>323</v>
      </c>
      <c r="AE74" s="246" t="s">
        <v>1769</v>
      </c>
      <c r="AF74" s="246">
        <v>274300</v>
      </c>
      <c r="AG74" s="246">
        <v>387500</v>
      </c>
      <c r="AH74" s="246" t="s">
        <v>1769</v>
      </c>
      <c r="AI74" s="246" t="s">
        <v>1769</v>
      </c>
      <c r="AJ74" s="246" t="s">
        <v>1769</v>
      </c>
    </row>
    <row r="75" spans="1:36">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1473</v>
      </c>
      <c r="M75" s="205" t="s">
        <v>1781</v>
      </c>
      <c r="N75" s="182">
        <v>43401</v>
      </c>
      <c r="O75" s="212">
        <v>207375</v>
      </c>
      <c r="P75" s="205" t="s">
        <v>1224</v>
      </c>
      <c r="Q75" s="205" t="s">
        <v>1205</v>
      </c>
      <c r="R75" s="205" t="s">
        <v>1490</v>
      </c>
      <c r="S75" s="205" t="s">
        <v>1182</v>
      </c>
      <c r="T75" s="205" t="s">
        <v>1769</v>
      </c>
      <c r="U75" s="205" t="s">
        <v>1769</v>
      </c>
      <c r="V75" s="205" t="s">
        <v>1769</v>
      </c>
      <c r="W75" s="205" t="s">
        <v>1769</v>
      </c>
      <c r="X75" s="205" t="s">
        <v>1769</v>
      </c>
      <c r="Y75" s="212" t="s">
        <v>1769</v>
      </c>
      <c r="Z75" s="205" t="s">
        <v>254</v>
      </c>
      <c r="AA75" s="205" t="s">
        <v>1769</v>
      </c>
      <c r="AB75" s="205" t="s">
        <v>254</v>
      </c>
      <c r="AC75" s="205" t="s">
        <v>1769</v>
      </c>
      <c r="AD75" s="205" t="s">
        <v>1769</v>
      </c>
      <c r="AE75" s="246" t="s">
        <v>1769</v>
      </c>
      <c r="AF75" s="246" t="s">
        <v>1769</v>
      </c>
      <c r="AG75" s="246">
        <v>47900</v>
      </c>
      <c r="AH75" s="246" t="s">
        <v>1769</v>
      </c>
      <c r="AI75" s="246" t="s">
        <v>1769</v>
      </c>
      <c r="AJ75" s="246" t="s">
        <v>1769</v>
      </c>
    </row>
    <row r="76" spans="1:36">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1473</v>
      </c>
      <c r="M76" s="205" t="s">
        <v>1781</v>
      </c>
      <c r="N76" s="182">
        <v>43430</v>
      </c>
      <c r="O76" s="212">
        <v>207375</v>
      </c>
      <c r="P76" s="205" t="s">
        <v>1224</v>
      </c>
      <c r="Q76" s="205" t="s">
        <v>1205</v>
      </c>
      <c r="R76" s="205" t="s">
        <v>1491</v>
      </c>
      <c r="S76" s="205" t="s">
        <v>1182</v>
      </c>
      <c r="T76" s="205" t="s">
        <v>1769</v>
      </c>
      <c r="U76" s="205" t="s">
        <v>1769</v>
      </c>
      <c r="V76" s="205" t="s">
        <v>1769</v>
      </c>
      <c r="W76" s="205" t="s">
        <v>1769</v>
      </c>
      <c r="X76" s="205" t="s">
        <v>1769</v>
      </c>
      <c r="Y76" s="212" t="s">
        <v>1769</v>
      </c>
      <c r="Z76" s="205" t="s">
        <v>254</v>
      </c>
      <c r="AA76" s="205" t="s">
        <v>1769</v>
      </c>
      <c r="AB76" s="205" t="s">
        <v>254</v>
      </c>
      <c r="AC76" s="205" t="s">
        <v>1769</v>
      </c>
      <c r="AD76" s="205" t="s">
        <v>1769</v>
      </c>
      <c r="AE76" s="246" t="s">
        <v>1769</v>
      </c>
      <c r="AF76" s="246" t="s">
        <v>1769</v>
      </c>
      <c r="AG76" s="246" t="s">
        <v>1769</v>
      </c>
      <c r="AH76" s="246" t="s">
        <v>1769</v>
      </c>
      <c r="AI76" s="246" t="s">
        <v>1769</v>
      </c>
      <c r="AJ76" s="246" t="s">
        <v>1769</v>
      </c>
    </row>
    <row r="77" spans="1:36">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08" t="s">
        <v>1769</v>
      </c>
      <c r="P77" s="209" t="s">
        <v>1224</v>
      </c>
      <c r="Q77" s="205" t="s">
        <v>1769</v>
      </c>
      <c r="R77" s="211" t="s">
        <v>570</v>
      </c>
      <c r="S77" s="205" t="s">
        <v>1175</v>
      </c>
      <c r="T77" s="210" t="s">
        <v>1769</v>
      </c>
      <c r="U77" s="206" t="s">
        <v>1769</v>
      </c>
      <c r="V77" s="206" t="s">
        <v>1769</v>
      </c>
      <c r="W77" s="205" t="s">
        <v>1769</v>
      </c>
      <c r="X77" s="205" t="s">
        <v>1769</v>
      </c>
      <c r="Y77" s="208" t="s">
        <v>1769</v>
      </c>
      <c r="Z77" s="205" t="s">
        <v>254</v>
      </c>
      <c r="AA77" s="205" t="s">
        <v>1769</v>
      </c>
      <c r="AB77" s="205" t="s">
        <v>254</v>
      </c>
      <c r="AC77" s="205" t="s">
        <v>163</v>
      </c>
      <c r="AD77" s="209" t="s">
        <v>323</v>
      </c>
      <c r="AE77" s="246" t="s">
        <v>1769</v>
      </c>
      <c r="AF77" s="246" t="s">
        <v>1769</v>
      </c>
      <c r="AG77" s="246" t="s">
        <v>1769</v>
      </c>
      <c r="AH77" s="246" t="s">
        <v>1769</v>
      </c>
      <c r="AI77" s="246" t="s">
        <v>1769</v>
      </c>
      <c r="AJ77" s="246" t="s">
        <v>1769</v>
      </c>
    </row>
    <row r="78" spans="1:36">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6" t="s">
        <v>1123</v>
      </c>
      <c r="M78" s="206" t="s">
        <v>1788</v>
      </c>
      <c r="N78" s="205" t="s">
        <v>1769</v>
      </c>
      <c r="O78" s="220" t="s">
        <v>1769</v>
      </c>
      <c r="P78" s="206" t="s">
        <v>400</v>
      </c>
      <c r="Q78" s="205" t="s">
        <v>1769</v>
      </c>
      <c r="R78" s="205" t="s">
        <v>1769</v>
      </c>
      <c r="S78" s="205" t="s">
        <v>1183</v>
      </c>
      <c r="T78" s="206" t="s">
        <v>1769</v>
      </c>
      <c r="U78" s="205" t="s">
        <v>1769</v>
      </c>
      <c r="V78" s="205" t="s">
        <v>1769</v>
      </c>
      <c r="W78" s="205" t="s">
        <v>1769</v>
      </c>
      <c r="X78" s="205" t="s">
        <v>1769</v>
      </c>
      <c r="Y78" s="221" t="s">
        <v>1122</v>
      </c>
      <c r="Z78" s="205" t="s">
        <v>1769</v>
      </c>
      <c r="AA78" s="205" t="s">
        <v>1736</v>
      </c>
      <c r="AB78" s="205" t="s">
        <v>254</v>
      </c>
      <c r="AC78" s="205" t="s">
        <v>1769</v>
      </c>
      <c r="AD78" s="205" t="s">
        <v>1769</v>
      </c>
      <c r="AE78" s="246" t="s">
        <v>1769</v>
      </c>
      <c r="AF78" s="246" t="s">
        <v>1769</v>
      </c>
      <c r="AG78" s="246" t="s">
        <v>1769</v>
      </c>
      <c r="AH78" s="246" t="s">
        <v>1769</v>
      </c>
      <c r="AI78" s="246" t="s">
        <v>1769</v>
      </c>
      <c r="AJ78" s="246" t="s">
        <v>1769</v>
      </c>
    </row>
    <row r="79" spans="1:36">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6" t="s">
        <v>1091</v>
      </c>
      <c r="M79" s="206" t="s">
        <v>1132</v>
      </c>
      <c r="N79" s="205" t="s">
        <v>1769</v>
      </c>
      <c r="O79" s="220" t="s">
        <v>1769</v>
      </c>
      <c r="P79" s="206" t="s">
        <v>400</v>
      </c>
      <c r="Q79" s="205" t="s">
        <v>1769</v>
      </c>
      <c r="R79" s="205" t="s">
        <v>1769</v>
      </c>
      <c r="S79" s="205" t="s">
        <v>1183</v>
      </c>
      <c r="T79" s="206" t="s">
        <v>1769</v>
      </c>
      <c r="U79" s="205" t="s">
        <v>1769</v>
      </c>
      <c r="V79" s="205" t="s">
        <v>1769</v>
      </c>
      <c r="W79" s="205" t="s">
        <v>1769</v>
      </c>
      <c r="X79" s="205" t="s">
        <v>1769</v>
      </c>
      <c r="Y79" s="221" t="s">
        <v>1131</v>
      </c>
      <c r="Z79" s="205" t="s">
        <v>1769</v>
      </c>
      <c r="AA79" s="205" t="s">
        <v>1736</v>
      </c>
      <c r="AB79" s="205" t="s">
        <v>254</v>
      </c>
      <c r="AC79" s="205" t="s">
        <v>1769</v>
      </c>
      <c r="AD79" s="205" t="s">
        <v>1769</v>
      </c>
      <c r="AE79" s="246" t="s">
        <v>1769</v>
      </c>
      <c r="AF79" s="246" t="s">
        <v>1769</v>
      </c>
      <c r="AG79" s="246" t="s">
        <v>1769</v>
      </c>
      <c r="AH79" s="246" t="s">
        <v>1769</v>
      </c>
      <c r="AI79" s="246" t="s">
        <v>1769</v>
      </c>
      <c r="AJ79" s="246" t="s">
        <v>1769</v>
      </c>
    </row>
    <row r="80" spans="1:36"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1051</v>
      </c>
      <c r="M80" s="206" t="s">
        <v>1051</v>
      </c>
      <c r="N80" s="205" t="s">
        <v>1769</v>
      </c>
      <c r="O80" s="220" t="s">
        <v>1769</v>
      </c>
      <c r="P80" s="206" t="s">
        <v>400</v>
      </c>
      <c r="Q80" s="205" t="s">
        <v>1769</v>
      </c>
      <c r="R80" s="205" t="s">
        <v>1769</v>
      </c>
      <c r="S80" s="205" t="s">
        <v>1184</v>
      </c>
      <c r="T80" s="205" t="s">
        <v>1769</v>
      </c>
      <c r="U80" s="205" t="s">
        <v>1769</v>
      </c>
      <c r="V80" s="205" t="s">
        <v>1769</v>
      </c>
      <c r="W80" s="205" t="s">
        <v>1769</v>
      </c>
      <c r="X80" s="205" t="s">
        <v>1769</v>
      </c>
      <c r="Y80" s="268" t="s">
        <v>1790</v>
      </c>
      <c r="Z80" s="205" t="s">
        <v>1769</v>
      </c>
      <c r="AA80" s="205" t="s">
        <v>1736</v>
      </c>
      <c r="AB80" s="205" t="s">
        <v>254</v>
      </c>
      <c r="AC80" s="205" t="s">
        <v>1769</v>
      </c>
      <c r="AD80" s="205" t="s">
        <v>1769</v>
      </c>
      <c r="AE80" s="246" t="s">
        <v>1769</v>
      </c>
      <c r="AF80" s="246" t="s">
        <v>1769</v>
      </c>
      <c r="AG80" s="246" t="s">
        <v>1769</v>
      </c>
      <c r="AH80" s="246" t="s">
        <v>1769</v>
      </c>
      <c r="AI80" s="246" t="s">
        <v>1769</v>
      </c>
      <c r="AJ80" s="246" t="s">
        <v>1769</v>
      </c>
    </row>
    <row r="81" spans="1:36"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6" t="s">
        <v>1091</v>
      </c>
      <c r="M81" s="206" t="s">
        <v>1091</v>
      </c>
      <c r="N81" s="205" t="s">
        <v>1769</v>
      </c>
      <c r="O81" s="220" t="s">
        <v>1769</v>
      </c>
      <c r="P81" s="206" t="s">
        <v>400</v>
      </c>
      <c r="Q81" s="205" t="s">
        <v>1769</v>
      </c>
      <c r="R81" s="205" t="s">
        <v>1769</v>
      </c>
      <c r="S81" s="205" t="s">
        <v>1183</v>
      </c>
      <c r="T81" s="206" t="s">
        <v>1769</v>
      </c>
      <c r="U81" s="205" t="s">
        <v>1769</v>
      </c>
      <c r="V81" s="205" t="s">
        <v>1769</v>
      </c>
      <c r="W81" s="205" t="s">
        <v>1769</v>
      </c>
      <c r="X81" s="205" t="s">
        <v>1769</v>
      </c>
      <c r="Y81" s="268" t="s">
        <v>1791</v>
      </c>
      <c r="Z81" s="205" t="s">
        <v>1769</v>
      </c>
      <c r="AA81" s="205" t="s">
        <v>1736</v>
      </c>
      <c r="AB81" s="205" t="s">
        <v>254</v>
      </c>
      <c r="AC81" s="205" t="s">
        <v>1769</v>
      </c>
      <c r="AD81" s="205" t="s">
        <v>1769</v>
      </c>
      <c r="AE81" s="246" t="s">
        <v>1769</v>
      </c>
      <c r="AF81" s="246" t="s">
        <v>1769</v>
      </c>
      <c r="AG81" s="246" t="s">
        <v>1769</v>
      </c>
      <c r="AH81" s="246" t="s">
        <v>1769</v>
      </c>
      <c r="AI81" s="246" t="s">
        <v>1769</v>
      </c>
      <c r="AJ81" s="246" t="s">
        <v>1769</v>
      </c>
    </row>
    <row r="82" spans="1:36">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6" t="s">
        <v>1091</v>
      </c>
      <c r="M82" s="206" t="s">
        <v>1792</v>
      </c>
      <c r="N82" s="205" t="s">
        <v>1769</v>
      </c>
      <c r="O82" s="220" t="s">
        <v>1769</v>
      </c>
      <c r="P82" s="206" t="s">
        <v>400</v>
      </c>
      <c r="Q82" s="205" t="s">
        <v>1769</v>
      </c>
      <c r="R82" s="205" t="s">
        <v>1769</v>
      </c>
      <c r="S82" s="205" t="s">
        <v>1183</v>
      </c>
      <c r="T82" s="206" t="s">
        <v>1769</v>
      </c>
      <c r="U82" s="205" t="s">
        <v>1769</v>
      </c>
      <c r="V82" s="205" t="s">
        <v>1769</v>
      </c>
      <c r="W82" s="205" t="s">
        <v>1769</v>
      </c>
      <c r="X82" s="205" t="s">
        <v>1769</v>
      </c>
      <c r="Y82" s="221" t="s">
        <v>1104</v>
      </c>
      <c r="Z82" s="205" t="s">
        <v>1769</v>
      </c>
      <c r="AA82" s="205" t="s">
        <v>1736</v>
      </c>
      <c r="AB82" s="205" t="s">
        <v>254</v>
      </c>
      <c r="AC82" s="205" t="s">
        <v>1769</v>
      </c>
      <c r="AD82" s="205" t="s">
        <v>1769</v>
      </c>
      <c r="AE82" s="246" t="s">
        <v>1769</v>
      </c>
      <c r="AF82" s="246" t="s">
        <v>1769</v>
      </c>
      <c r="AG82" s="246" t="s">
        <v>1769</v>
      </c>
      <c r="AH82" s="246" t="s">
        <v>1769</v>
      </c>
      <c r="AI82" s="246" t="s">
        <v>1769</v>
      </c>
      <c r="AJ82" s="246" t="s">
        <v>1769</v>
      </c>
    </row>
    <row r="83" spans="1:36">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6" t="s">
        <v>1091</v>
      </c>
      <c r="M83" s="206" t="s">
        <v>1792</v>
      </c>
      <c r="N83" s="205" t="s">
        <v>1769</v>
      </c>
      <c r="O83" s="220" t="s">
        <v>1769</v>
      </c>
      <c r="P83" s="206" t="s">
        <v>400</v>
      </c>
      <c r="Q83" s="205" t="s">
        <v>1769</v>
      </c>
      <c r="R83" s="205" t="s">
        <v>1769</v>
      </c>
      <c r="S83" s="205" t="s">
        <v>1183</v>
      </c>
      <c r="T83" s="206" t="s">
        <v>1769</v>
      </c>
      <c r="U83" s="205" t="s">
        <v>1769</v>
      </c>
      <c r="V83" s="205" t="s">
        <v>1769</v>
      </c>
      <c r="W83" s="205" t="s">
        <v>1769</v>
      </c>
      <c r="X83" s="205" t="s">
        <v>1769</v>
      </c>
      <c r="Y83" s="221" t="s">
        <v>1100</v>
      </c>
      <c r="Z83" s="205" t="s">
        <v>1769</v>
      </c>
      <c r="AA83" s="205" t="s">
        <v>1736</v>
      </c>
      <c r="AB83" s="205" t="s">
        <v>254</v>
      </c>
      <c r="AC83" s="205" t="s">
        <v>1769</v>
      </c>
      <c r="AD83" s="205" t="s">
        <v>1769</v>
      </c>
      <c r="AE83" s="246" t="s">
        <v>1769</v>
      </c>
      <c r="AF83" s="246" t="s">
        <v>1769</v>
      </c>
      <c r="AG83" s="246" t="s">
        <v>1769</v>
      </c>
      <c r="AH83" s="246" t="s">
        <v>1769</v>
      </c>
      <c r="AI83" s="246" t="s">
        <v>1769</v>
      </c>
      <c r="AJ83" s="246" t="s">
        <v>1769</v>
      </c>
    </row>
    <row r="84" spans="1:36">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1051</v>
      </c>
      <c r="M84" s="206" t="s">
        <v>1792</v>
      </c>
      <c r="N84" s="205" t="s">
        <v>1769</v>
      </c>
      <c r="O84" s="220" t="s">
        <v>1769</v>
      </c>
      <c r="P84" s="206" t="s">
        <v>400</v>
      </c>
      <c r="Q84" s="205" t="s">
        <v>1769</v>
      </c>
      <c r="R84" s="205" t="s">
        <v>1769</v>
      </c>
      <c r="S84" s="205" t="s">
        <v>1184</v>
      </c>
      <c r="T84" s="205" t="s">
        <v>1769</v>
      </c>
      <c r="U84" s="205" t="s">
        <v>1769</v>
      </c>
      <c r="V84" s="205" t="s">
        <v>1769</v>
      </c>
      <c r="W84" s="205" t="s">
        <v>1769</v>
      </c>
      <c r="X84" s="205" t="s">
        <v>1769</v>
      </c>
      <c r="Y84" s="221" t="s">
        <v>1070</v>
      </c>
      <c r="Z84" s="205" t="s">
        <v>1769</v>
      </c>
      <c r="AA84" s="205" t="s">
        <v>1736</v>
      </c>
      <c r="AB84" s="205" t="s">
        <v>254</v>
      </c>
      <c r="AC84" s="205" t="s">
        <v>1769</v>
      </c>
      <c r="AD84" s="205" t="s">
        <v>1769</v>
      </c>
      <c r="AE84" s="246" t="s">
        <v>1769</v>
      </c>
      <c r="AF84" s="246" t="s">
        <v>1769</v>
      </c>
      <c r="AG84" s="246" t="s">
        <v>1769</v>
      </c>
      <c r="AH84" s="246" t="s">
        <v>1769</v>
      </c>
      <c r="AI84" s="246" t="s">
        <v>1769</v>
      </c>
      <c r="AJ84" s="246" t="s">
        <v>1769</v>
      </c>
    </row>
    <row r="85" spans="1:36"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1051</v>
      </c>
      <c r="M85" s="206" t="s">
        <v>1051</v>
      </c>
      <c r="N85" s="205" t="s">
        <v>1769</v>
      </c>
      <c r="O85" s="220" t="s">
        <v>1769</v>
      </c>
      <c r="P85" s="206" t="s">
        <v>400</v>
      </c>
      <c r="Q85" s="205" t="s">
        <v>1769</v>
      </c>
      <c r="R85" s="205" t="s">
        <v>1769</v>
      </c>
      <c r="S85" s="205" t="s">
        <v>1184</v>
      </c>
      <c r="T85" s="205" t="s">
        <v>1769</v>
      </c>
      <c r="U85" s="205" t="s">
        <v>1769</v>
      </c>
      <c r="V85" s="205" t="s">
        <v>1769</v>
      </c>
      <c r="W85" s="205" t="s">
        <v>1769</v>
      </c>
      <c r="X85" s="205" t="s">
        <v>1769</v>
      </c>
      <c r="Y85" s="268" t="s">
        <v>1793</v>
      </c>
      <c r="Z85" s="205" t="s">
        <v>1769</v>
      </c>
      <c r="AA85" s="205" t="s">
        <v>1736</v>
      </c>
      <c r="AB85" s="205" t="s">
        <v>254</v>
      </c>
      <c r="AC85" s="205" t="s">
        <v>1769</v>
      </c>
      <c r="AD85" s="205" t="s">
        <v>1769</v>
      </c>
      <c r="AE85" s="246" t="s">
        <v>1769</v>
      </c>
      <c r="AF85" s="246" t="s">
        <v>1769</v>
      </c>
      <c r="AG85" s="246" t="s">
        <v>1769</v>
      </c>
      <c r="AH85" s="246" t="s">
        <v>1769</v>
      </c>
      <c r="AI85" s="246" t="s">
        <v>1769</v>
      </c>
      <c r="AJ85" s="246" t="s">
        <v>1769</v>
      </c>
    </row>
    <row r="86" spans="1:36"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1051</v>
      </c>
      <c r="M86" s="206" t="s">
        <v>1051</v>
      </c>
      <c r="N86" s="205" t="s">
        <v>1769</v>
      </c>
      <c r="O86" s="220" t="s">
        <v>1769</v>
      </c>
      <c r="P86" s="206" t="s">
        <v>400</v>
      </c>
      <c r="Q86" s="205" t="s">
        <v>1769</v>
      </c>
      <c r="R86" s="205" t="s">
        <v>1769</v>
      </c>
      <c r="S86" s="205" t="s">
        <v>1184</v>
      </c>
      <c r="T86" s="205" t="s">
        <v>1769</v>
      </c>
      <c r="U86" s="205" t="s">
        <v>1769</v>
      </c>
      <c r="V86" s="205" t="s">
        <v>1769</v>
      </c>
      <c r="W86" s="205" t="s">
        <v>1769</v>
      </c>
      <c r="X86" s="205" t="s">
        <v>1769</v>
      </c>
      <c r="Y86" s="268" t="s">
        <v>1794</v>
      </c>
      <c r="Z86" s="205" t="s">
        <v>1769</v>
      </c>
      <c r="AA86" s="205" t="s">
        <v>1736</v>
      </c>
      <c r="AB86" s="205" t="s">
        <v>254</v>
      </c>
      <c r="AC86" s="205" t="s">
        <v>1769</v>
      </c>
      <c r="AD86" s="205" t="s">
        <v>1769</v>
      </c>
      <c r="AE86" s="246" t="s">
        <v>1769</v>
      </c>
      <c r="AF86" s="246" t="s">
        <v>1769</v>
      </c>
      <c r="AG86" s="246" t="s">
        <v>1769</v>
      </c>
      <c r="AH86" s="246" t="s">
        <v>1769</v>
      </c>
      <c r="AI86" s="246" t="s">
        <v>1769</v>
      </c>
      <c r="AJ86" s="246" t="s">
        <v>1769</v>
      </c>
    </row>
    <row r="87" spans="1:36">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6" t="s">
        <v>1091</v>
      </c>
      <c r="M87" s="206" t="s">
        <v>1091</v>
      </c>
      <c r="N87" s="205" t="s">
        <v>1769</v>
      </c>
      <c r="O87" s="220" t="s">
        <v>1769</v>
      </c>
      <c r="P87" s="206" t="s">
        <v>400</v>
      </c>
      <c r="Q87" s="205" t="s">
        <v>1769</v>
      </c>
      <c r="R87" s="205" t="s">
        <v>1769</v>
      </c>
      <c r="S87" s="205" t="s">
        <v>1183</v>
      </c>
      <c r="T87" s="206" t="s">
        <v>1769</v>
      </c>
      <c r="U87" s="205" t="s">
        <v>1769</v>
      </c>
      <c r="V87" s="205" t="s">
        <v>1769</v>
      </c>
      <c r="W87" s="205" t="s">
        <v>1769</v>
      </c>
      <c r="X87" s="205" t="s">
        <v>1769</v>
      </c>
      <c r="Y87" s="221" t="s">
        <v>1119</v>
      </c>
      <c r="Z87" s="205" t="s">
        <v>1769</v>
      </c>
      <c r="AA87" s="205" t="s">
        <v>1736</v>
      </c>
      <c r="AB87" s="205" t="s">
        <v>254</v>
      </c>
      <c r="AC87" s="205" t="s">
        <v>1769</v>
      </c>
      <c r="AD87" s="205" t="s">
        <v>1769</v>
      </c>
      <c r="AE87" s="246" t="s">
        <v>1769</v>
      </c>
      <c r="AF87" s="246" t="s">
        <v>1769</v>
      </c>
      <c r="AG87" s="246" t="s">
        <v>1769</v>
      </c>
      <c r="AH87" s="246" t="s">
        <v>1769</v>
      </c>
      <c r="AI87" s="246" t="s">
        <v>1769</v>
      </c>
      <c r="AJ87" s="246" t="s">
        <v>1769</v>
      </c>
    </row>
    <row r="88" spans="1:36">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6" t="s">
        <v>1091</v>
      </c>
      <c r="M88" s="206" t="s">
        <v>1792</v>
      </c>
      <c r="N88" s="205" t="s">
        <v>1769</v>
      </c>
      <c r="O88" s="220" t="s">
        <v>1769</v>
      </c>
      <c r="P88" s="206" t="s">
        <v>400</v>
      </c>
      <c r="Q88" s="205" t="s">
        <v>1769</v>
      </c>
      <c r="R88" s="205" t="s">
        <v>1769</v>
      </c>
      <c r="S88" s="205" t="s">
        <v>1183</v>
      </c>
      <c r="T88" s="206" t="s">
        <v>1769</v>
      </c>
      <c r="U88" s="205" t="s">
        <v>1769</v>
      </c>
      <c r="V88" s="205" t="s">
        <v>1769</v>
      </c>
      <c r="W88" s="205" t="s">
        <v>1769</v>
      </c>
      <c r="X88" s="205" t="s">
        <v>1769</v>
      </c>
      <c r="Y88" s="221" t="s">
        <v>1111</v>
      </c>
      <c r="Z88" s="205" t="s">
        <v>1769</v>
      </c>
      <c r="AA88" s="205" t="s">
        <v>1736</v>
      </c>
      <c r="AB88" s="205" t="s">
        <v>254</v>
      </c>
      <c r="AC88" s="205" t="s">
        <v>1769</v>
      </c>
      <c r="AD88" s="205" t="s">
        <v>1769</v>
      </c>
      <c r="AE88" s="246" t="s">
        <v>1769</v>
      </c>
      <c r="AF88" s="246" t="s">
        <v>1769</v>
      </c>
      <c r="AG88" s="246" t="s">
        <v>1769</v>
      </c>
      <c r="AH88" s="246" t="s">
        <v>1769</v>
      </c>
      <c r="AI88" s="246" t="s">
        <v>1769</v>
      </c>
      <c r="AJ88" s="246" t="s">
        <v>1769</v>
      </c>
    </row>
    <row r="89" spans="1:36"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1091</v>
      </c>
      <c r="M89" s="200" t="s">
        <v>1091</v>
      </c>
      <c r="N89" s="200" t="s">
        <v>1769</v>
      </c>
      <c r="O89" s="204" t="s">
        <v>1769</v>
      </c>
      <c r="P89" s="200" t="s">
        <v>1204</v>
      </c>
      <c r="Q89" s="200" t="s">
        <v>1205</v>
      </c>
      <c r="R89" s="200" t="s">
        <v>1769</v>
      </c>
      <c r="S89" s="200" t="s">
        <v>1188</v>
      </c>
      <c r="T89" s="200" t="s">
        <v>1769</v>
      </c>
      <c r="U89" s="200" t="s">
        <v>1769</v>
      </c>
      <c r="V89" s="200" t="s">
        <v>1769</v>
      </c>
      <c r="W89" s="200" t="s">
        <v>1769</v>
      </c>
      <c r="X89" s="200" t="s">
        <v>1769</v>
      </c>
      <c r="Y89" s="267" t="s">
        <v>1795</v>
      </c>
      <c r="Z89" s="200" t="s">
        <v>254</v>
      </c>
      <c r="AA89" s="200" t="s">
        <v>1769</v>
      </c>
      <c r="AB89" s="200" t="s">
        <v>254</v>
      </c>
      <c r="AC89" s="200" t="s">
        <v>1769</v>
      </c>
      <c r="AD89" s="200" t="s">
        <v>1769</v>
      </c>
      <c r="AE89" s="200" t="s">
        <v>1769</v>
      </c>
      <c r="AF89" s="200" t="s">
        <v>1769</v>
      </c>
      <c r="AG89" s="200" t="s">
        <v>1769</v>
      </c>
      <c r="AH89" s="200" t="s">
        <v>1769</v>
      </c>
      <c r="AI89" s="200" t="s">
        <v>1769</v>
      </c>
      <c r="AJ89" s="200" t="s">
        <v>1769</v>
      </c>
    </row>
    <row r="90" spans="1:36"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1051</v>
      </c>
      <c r="M90" s="206" t="s">
        <v>1051</v>
      </c>
      <c r="N90" s="205" t="s">
        <v>1769</v>
      </c>
      <c r="O90" s="220" t="s">
        <v>1769</v>
      </c>
      <c r="P90" s="206" t="s">
        <v>402</v>
      </c>
      <c r="Q90" s="205" t="s">
        <v>1769</v>
      </c>
      <c r="R90" s="205" t="s">
        <v>1769</v>
      </c>
      <c r="S90" s="205" t="s">
        <v>1184</v>
      </c>
      <c r="T90" s="205" t="s">
        <v>1769</v>
      </c>
      <c r="U90" s="205" t="s">
        <v>1769</v>
      </c>
      <c r="V90" s="205" t="s">
        <v>1769</v>
      </c>
      <c r="W90" s="205" t="s">
        <v>1769</v>
      </c>
      <c r="X90" s="205" t="s">
        <v>1769</v>
      </c>
      <c r="Y90" s="268" t="s">
        <v>1796</v>
      </c>
      <c r="Z90" s="205" t="s">
        <v>1769</v>
      </c>
      <c r="AA90" s="205" t="s">
        <v>1736</v>
      </c>
      <c r="AB90" s="205" t="s">
        <v>254</v>
      </c>
      <c r="AC90" s="205" t="s">
        <v>1769</v>
      </c>
      <c r="AD90" s="205" t="s">
        <v>1769</v>
      </c>
      <c r="AE90" s="246" t="s">
        <v>1769</v>
      </c>
      <c r="AF90" s="246" t="s">
        <v>1769</v>
      </c>
      <c r="AG90" s="246" t="s">
        <v>1769</v>
      </c>
      <c r="AH90" s="246" t="s">
        <v>1769</v>
      </c>
      <c r="AI90" s="246" t="s">
        <v>1769</v>
      </c>
      <c r="AJ90" s="246" t="s">
        <v>1769</v>
      </c>
    </row>
    <row r="91" spans="1:36">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6" t="s">
        <v>1091</v>
      </c>
      <c r="M91" s="206" t="s">
        <v>1091</v>
      </c>
      <c r="N91" s="205" t="s">
        <v>1769</v>
      </c>
      <c r="O91" s="220" t="s">
        <v>1769</v>
      </c>
      <c r="P91" s="206" t="s">
        <v>1054</v>
      </c>
      <c r="Q91" s="205" t="s">
        <v>1769</v>
      </c>
      <c r="R91" s="205" t="s">
        <v>1769</v>
      </c>
      <c r="S91" s="205" t="s">
        <v>1183</v>
      </c>
      <c r="T91" s="206" t="s">
        <v>1769</v>
      </c>
      <c r="U91" s="205" t="s">
        <v>1769</v>
      </c>
      <c r="V91" s="205" t="s">
        <v>1769</v>
      </c>
      <c r="W91" s="205" t="s">
        <v>1769</v>
      </c>
      <c r="X91" s="205" t="s">
        <v>1769</v>
      </c>
      <c r="Y91" s="221" t="s">
        <v>1126</v>
      </c>
      <c r="Z91" s="205" t="s">
        <v>1769</v>
      </c>
      <c r="AA91" s="205" t="s">
        <v>1736</v>
      </c>
      <c r="AB91" s="205" t="s">
        <v>254</v>
      </c>
      <c r="AC91" s="205" t="s">
        <v>1769</v>
      </c>
      <c r="AD91" s="205" t="s">
        <v>1769</v>
      </c>
      <c r="AE91" s="246" t="s">
        <v>1769</v>
      </c>
      <c r="AF91" s="246" t="s">
        <v>1769</v>
      </c>
      <c r="AG91" s="246" t="s">
        <v>1769</v>
      </c>
      <c r="AH91" s="246" t="s">
        <v>1769</v>
      </c>
      <c r="AI91" s="246" t="s">
        <v>1769</v>
      </c>
      <c r="AJ91" s="246" t="s">
        <v>1769</v>
      </c>
    </row>
    <row r="92" spans="1:36">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1051</v>
      </c>
      <c r="M92" s="206" t="s">
        <v>1051</v>
      </c>
      <c r="N92" s="205" t="s">
        <v>1769</v>
      </c>
      <c r="O92" s="220" t="s">
        <v>1769</v>
      </c>
      <c r="P92" s="206" t="s">
        <v>1054</v>
      </c>
      <c r="Q92" s="205" t="s">
        <v>1769</v>
      </c>
      <c r="R92" s="205" t="s">
        <v>1769</v>
      </c>
      <c r="S92" s="205" t="s">
        <v>1184</v>
      </c>
      <c r="T92" s="205" t="s">
        <v>1769</v>
      </c>
      <c r="U92" s="205" t="s">
        <v>1769</v>
      </c>
      <c r="V92" s="205" t="s">
        <v>1769</v>
      </c>
      <c r="W92" s="205" t="s">
        <v>1769</v>
      </c>
      <c r="X92" s="205" t="s">
        <v>1769</v>
      </c>
      <c r="Y92" s="221" t="s">
        <v>1055</v>
      </c>
      <c r="Z92" s="205" t="s">
        <v>1769</v>
      </c>
      <c r="AA92" s="205" t="s">
        <v>1736</v>
      </c>
      <c r="AB92" s="205" t="s">
        <v>254</v>
      </c>
      <c r="AC92" s="205" t="s">
        <v>1769</v>
      </c>
      <c r="AD92" s="205" t="s">
        <v>1769</v>
      </c>
      <c r="AE92" s="246" t="s">
        <v>1769</v>
      </c>
      <c r="AF92" s="246" t="s">
        <v>1769</v>
      </c>
      <c r="AG92" s="246" t="s">
        <v>1769</v>
      </c>
      <c r="AH92" s="246" t="s">
        <v>1769</v>
      </c>
      <c r="AI92" s="246" t="s">
        <v>1769</v>
      </c>
      <c r="AJ92" s="246" t="s">
        <v>1769</v>
      </c>
    </row>
    <row r="93" spans="1:36">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6" t="s">
        <v>1091</v>
      </c>
      <c r="M93" s="206" t="s">
        <v>1798</v>
      </c>
      <c r="N93" s="205" t="s">
        <v>1769</v>
      </c>
      <c r="O93" s="220" t="s">
        <v>1769</v>
      </c>
      <c r="P93" s="206" t="s">
        <v>1054</v>
      </c>
      <c r="Q93" s="205" t="s">
        <v>1769</v>
      </c>
      <c r="R93" s="205" t="s">
        <v>1769</v>
      </c>
      <c r="S93" s="205" t="s">
        <v>1183</v>
      </c>
      <c r="T93" s="206" t="s">
        <v>1769</v>
      </c>
      <c r="U93" s="205" t="s">
        <v>1769</v>
      </c>
      <c r="V93" s="205" t="s">
        <v>1769</v>
      </c>
      <c r="W93" s="205" t="s">
        <v>1769</v>
      </c>
      <c r="X93" s="205" t="s">
        <v>1769</v>
      </c>
      <c r="Y93" s="221" t="s">
        <v>1135</v>
      </c>
      <c r="Z93" s="205" t="s">
        <v>1769</v>
      </c>
      <c r="AA93" s="205" t="s">
        <v>1736</v>
      </c>
      <c r="AB93" s="205" t="s">
        <v>254</v>
      </c>
      <c r="AC93" s="205" t="s">
        <v>1769</v>
      </c>
      <c r="AD93" s="205" t="s">
        <v>1769</v>
      </c>
      <c r="AE93" s="246" t="s">
        <v>1769</v>
      </c>
      <c r="AF93" s="246" t="s">
        <v>1769</v>
      </c>
      <c r="AG93" s="246" t="s">
        <v>1769</v>
      </c>
      <c r="AH93" s="246" t="s">
        <v>1769</v>
      </c>
      <c r="AI93" s="246" t="s">
        <v>1769</v>
      </c>
      <c r="AJ93" s="246" t="s">
        <v>1769</v>
      </c>
    </row>
    <row r="94" spans="1:36"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20" t="s">
        <v>1769</v>
      </c>
      <c r="P94" s="206" t="s">
        <v>1054</v>
      </c>
      <c r="Q94" s="205" t="s">
        <v>1769</v>
      </c>
      <c r="R94" s="205" t="s">
        <v>1769</v>
      </c>
      <c r="S94" s="205" t="s">
        <v>1184</v>
      </c>
      <c r="T94" s="205" t="s">
        <v>1769</v>
      </c>
      <c r="U94" s="205" t="s">
        <v>1769</v>
      </c>
      <c r="V94" s="205" t="s">
        <v>1769</v>
      </c>
      <c r="W94" s="205" t="s">
        <v>1769</v>
      </c>
      <c r="X94" s="205" t="s">
        <v>1769</v>
      </c>
      <c r="Y94" s="221" t="s">
        <v>1085</v>
      </c>
      <c r="Z94" s="205" t="s">
        <v>1769</v>
      </c>
      <c r="AA94" s="205" t="s">
        <v>1736</v>
      </c>
      <c r="AB94" s="205" t="s">
        <v>254</v>
      </c>
      <c r="AC94" s="205" t="s">
        <v>1769</v>
      </c>
      <c r="AD94" s="205" t="s">
        <v>1769</v>
      </c>
      <c r="AE94" s="246" t="s">
        <v>1769</v>
      </c>
      <c r="AF94" s="246" t="s">
        <v>1769</v>
      </c>
      <c r="AG94" s="246" t="s">
        <v>1769</v>
      </c>
      <c r="AH94" s="246" t="s">
        <v>1769</v>
      </c>
      <c r="AI94" s="246" t="s">
        <v>1769</v>
      </c>
      <c r="AJ94" s="246" t="s">
        <v>1769</v>
      </c>
    </row>
    <row r="95" spans="1:36">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6" t="s">
        <v>1091</v>
      </c>
      <c r="M95" s="206" t="s">
        <v>1091</v>
      </c>
      <c r="N95" s="205" t="s">
        <v>1769</v>
      </c>
      <c r="O95" s="220" t="s">
        <v>1769</v>
      </c>
      <c r="P95" s="206" t="s">
        <v>402</v>
      </c>
      <c r="Q95" s="205" t="s">
        <v>1769</v>
      </c>
      <c r="R95" s="205" t="s">
        <v>1769</v>
      </c>
      <c r="S95" s="205" t="s">
        <v>1183</v>
      </c>
      <c r="T95" s="206" t="s">
        <v>1769</v>
      </c>
      <c r="U95" s="205" t="s">
        <v>1769</v>
      </c>
      <c r="V95" s="205" t="s">
        <v>1769</v>
      </c>
      <c r="W95" s="205" t="s">
        <v>1769</v>
      </c>
      <c r="X95" s="205" t="s">
        <v>1769</v>
      </c>
      <c r="Y95" s="221" t="s">
        <v>1114</v>
      </c>
      <c r="Z95" s="205" t="s">
        <v>1769</v>
      </c>
      <c r="AA95" s="205" t="s">
        <v>1736</v>
      </c>
      <c r="AB95" s="205" t="s">
        <v>254</v>
      </c>
      <c r="AC95" s="205" t="s">
        <v>1769</v>
      </c>
      <c r="AD95" s="205" t="s">
        <v>1769</v>
      </c>
      <c r="AE95" s="246" t="s">
        <v>1769</v>
      </c>
      <c r="AF95" s="246" t="s">
        <v>1769</v>
      </c>
      <c r="AG95" s="246" t="s">
        <v>1769</v>
      </c>
      <c r="AH95" s="246" t="s">
        <v>1769</v>
      </c>
      <c r="AI95" s="246" t="s">
        <v>1769</v>
      </c>
      <c r="AJ95" s="246" t="s">
        <v>1769</v>
      </c>
    </row>
    <row r="96" spans="1:36">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6" t="s">
        <v>1091</v>
      </c>
      <c r="M96" s="206" t="s">
        <v>1091</v>
      </c>
      <c r="N96" s="205" t="s">
        <v>1769</v>
      </c>
      <c r="O96" s="220" t="s">
        <v>1769</v>
      </c>
      <c r="P96" s="206" t="s">
        <v>1094</v>
      </c>
      <c r="Q96" s="205" t="s">
        <v>1769</v>
      </c>
      <c r="R96" s="205" t="s">
        <v>1769</v>
      </c>
      <c r="S96" s="205" t="s">
        <v>1183</v>
      </c>
      <c r="T96" s="206" t="s">
        <v>1769</v>
      </c>
      <c r="U96" s="205" t="s">
        <v>1769</v>
      </c>
      <c r="V96" s="205" t="s">
        <v>1769</v>
      </c>
      <c r="W96" s="205" t="s">
        <v>1769</v>
      </c>
      <c r="X96" s="205" t="s">
        <v>1769</v>
      </c>
      <c r="Y96" s="221" t="s">
        <v>1096</v>
      </c>
      <c r="Z96" s="205" t="s">
        <v>1769</v>
      </c>
      <c r="AA96" s="205" t="s">
        <v>1736</v>
      </c>
      <c r="AB96" s="205" t="s">
        <v>254</v>
      </c>
      <c r="AC96" s="205" t="s">
        <v>1769</v>
      </c>
      <c r="AD96" s="205" t="s">
        <v>1769</v>
      </c>
      <c r="AE96" s="246" t="s">
        <v>1769</v>
      </c>
      <c r="AF96" s="246" t="s">
        <v>1769</v>
      </c>
      <c r="AG96" s="246" t="s">
        <v>1769</v>
      </c>
      <c r="AH96" s="246" t="s">
        <v>1769</v>
      </c>
      <c r="AI96" s="246" t="s">
        <v>1769</v>
      </c>
      <c r="AJ96" s="246" t="s">
        <v>1769</v>
      </c>
    </row>
    <row r="97" spans="1:36">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08" t="s">
        <v>1769</v>
      </c>
      <c r="P97" s="209" t="s">
        <v>1224</v>
      </c>
      <c r="Q97" s="205" t="s">
        <v>1205</v>
      </c>
      <c r="R97" s="211" t="s">
        <v>1769</v>
      </c>
      <c r="S97" s="205" t="s">
        <v>1176</v>
      </c>
      <c r="T97" s="210" t="s">
        <v>1282</v>
      </c>
      <c r="U97" s="206" t="s">
        <v>1769</v>
      </c>
      <c r="V97" s="206" t="s">
        <v>1769</v>
      </c>
      <c r="W97" s="205" t="s">
        <v>1769</v>
      </c>
      <c r="X97" s="205" t="s">
        <v>1769</v>
      </c>
      <c r="Y97" s="208" t="s">
        <v>1769</v>
      </c>
      <c r="Z97" s="205" t="s">
        <v>254</v>
      </c>
      <c r="AA97" s="205" t="s">
        <v>1769</v>
      </c>
      <c r="AB97" s="205" t="s">
        <v>254</v>
      </c>
      <c r="AC97" s="205" t="s">
        <v>163</v>
      </c>
      <c r="AD97" s="209" t="s">
        <v>323</v>
      </c>
      <c r="AE97" s="246">
        <v>455000</v>
      </c>
      <c r="AF97" s="246">
        <v>575900</v>
      </c>
      <c r="AG97" s="246" t="s">
        <v>1769</v>
      </c>
      <c r="AH97" s="246" t="s">
        <v>1769</v>
      </c>
      <c r="AI97" s="246" t="s">
        <v>1769</v>
      </c>
      <c r="AJ97" s="246" t="s">
        <v>1769</v>
      </c>
    </row>
    <row r="98" spans="1:36">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462</v>
      </c>
      <c r="M98" s="206" t="s">
        <v>1773</v>
      </c>
      <c r="N98" s="180">
        <v>42540</v>
      </c>
      <c r="O98" s="212">
        <v>117504</v>
      </c>
      <c r="P98" s="205" t="s">
        <v>1224</v>
      </c>
      <c r="Q98" s="205" t="s">
        <v>1205</v>
      </c>
      <c r="R98" s="205" t="s">
        <v>1769</v>
      </c>
      <c r="S98" s="205" t="s">
        <v>1176</v>
      </c>
      <c r="T98" s="205" t="s">
        <v>1769</v>
      </c>
      <c r="U98" s="205" t="s">
        <v>1769</v>
      </c>
      <c r="V98" s="205" t="s">
        <v>1769</v>
      </c>
      <c r="W98" s="205" t="s">
        <v>1769</v>
      </c>
      <c r="X98" s="205" t="s">
        <v>1769</v>
      </c>
      <c r="Y98" s="212" t="s">
        <v>1769</v>
      </c>
      <c r="Z98" s="205" t="s">
        <v>254</v>
      </c>
      <c r="AA98" s="205" t="s">
        <v>1769</v>
      </c>
      <c r="AB98" s="205" t="s">
        <v>254</v>
      </c>
      <c r="AC98" s="205" t="s">
        <v>1769</v>
      </c>
      <c r="AD98" s="205" t="s">
        <v>1769</v>
      </c>
      <c r="AE98" s="246" t="s">
        <v>1769</v>
      </c>
      <c r="AF98" s="246">
        <v>166200</v>
      </c>
      <c r="AG98" s="246">
        <v>178200</v>
      </c>
      <c r="AH98" s="246" t="s">
        <v>1769</v>
      </c>
      <c r="AI98" s="246" t="s">
        <v>1769</v>
      </c>
      <c r="AJ98" s="246" t="s">
        <v>1769</v>
      </c>
    </row>
    <row r="99" spans="1:36">
      <c r="A99" s="206">
        <v>291</v>
      </c>
      <c r="B99" s="206" t="s">
        <v>1284</v>
      </c>
      <c r="C99" s="253" t="s">
        <v>1756</v>
      </c>
      <c r="D99" s="206" t="str">
        <f t="shared" si="1"/>
        <v>滋賀100い291</v>
      </c>
      <c r="E99" s="205" t="s">
        <v>1289</v>
      </c>
      <c r="F99" s="206" t="s">
        <v>673</v>
      </c>
      <c r="G99" s="206" t="s">
        <v>1234</v>
      </c>
      <c r="H99" s="227" t="s">
        <v>383</v>
      </c>
      <c r="I99" s="206" t="s">
        <v>1290</v>
      </c>
      <c r="J99" s="206" t="s">
        <v>1291</v>
      </c>
      <c r="K99" s="206" t="s">
        <v>381</v>
      </c>
      <c r="L99" s="206" t="s">
        <v>462</v>
      </c>
      <c r="M99" s="206" t="s">
        <v>1776</v>
      </c>
      <c r="N99" s="181">
        <v>42270</v>
      </c>
      <c r="O99" s="208">
        <v>81795</v>
      </c>
      <c r="P99" s="209" t="s">
        <v>1224</v>
      </c>
      <c r="Q99" s="205" t="s">
        <v>1205</v>
      </c>
      <c r="R99" s="211" t="s">
        <v>1769</v>
      </c>
      <c r="S99" s="205" t="s">
        <v>1176</v>
      </c>
      <c r="T99" s="205" t="s">
        <v>1288</v>
      </c>
      <c r="U99" s="206" t="s">
        <v>1769</v>
      </c>
      <c r="V99" s="206" t="s">
        <v>1769</v>
      </c>
      <c r="W99" s="205" t="s">
        <v>1769</v>
      </c>
      <c r="X99" s="205" t="s">
        <v>1769</v>
      </c>
      <c r="Y99" s="208" t="s">
        <v>1769</v>
      </c>
      <c r="Z99" s="205" t="s">
        <v>254</v>
      </c>
      <c r="AA99" s="205" t="s">
        <v>1769</v>
      </c>
      <c r="AB99" s="205" t="s">
        <v>254</v>
      </c>
      <c r="AC99" s="205" t="s">
        <v>163</v>
      </c>
      <c r="AD99" s="209" t="s">
        <v>323</v>
      </c>
      <c r="AE99" s="246">
        <v>358400</v>
      </c>
      <c r="AF99" s="246">
        <v>394300</v>
      </c>
      <c r="AG99" s="246" t="s">
        <v>1769</v>
      </c>
      <c r="AH99" s="246" t="s">
        <v>1769</v>
      </c>
      <c r="AI99" s="246" t="s">
        <v>1769</v>
      </c>
      <c r="AJ99" s="246" t="s">
        <v>1769</v>
      </c>
    </row>
    <row r="100" spans="1:36">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08" t="s">
        <v>1769</v>
      </c>
      <c r="P100" s="209" t="s">
        <v>1224</v>
      </c>
      <c r="Q100" s="205" t="s">
        <v>1769</v>
      </c>
      <c r="R100" s="211" t="s">
        <v>1769</v>
      </c>
      <c r="S100" s="205" t="s">
        <v>1176</v>
      </c>
      <c r="T100" s="210" t="s">
        <v>1769</v>
      </c>
      <c r="U100" s="206" t="s">
        <v>1769</v>
      </c>
      <c r="V100" s="206" t="s">
        <v>1769</v>
      </c>
      <c r="W100" s="205" t="s">
        <v>1769</v>
      </c>
      <c r="X100" s="205" t="s">
        <v>1769</v>
      </c>
      <c r="Y100" s="208" t="s">
        <v>1769</v>
      </c>
      <c r="Z100" s="205" t="s">
        <v>254</v>
      </c>
      <c r="AA100" s="205" t="s">
        <v>1769</v>
      </c>
      <c r="AB100" s="205" t="s">
        <v>254</v>
      </c>
      <c r="AC100" s="205" t="s">
        <v>163</v>
      </c>
      <c r="AD100" s="209" t="s">
        <v>323</v>
      </c>
      <c r="AE100" s="246" t="s">
        <v>1769</v>
      </c>
      <c r="AF100" s="246" t="s">
        <v>1769</v>
      </c>
      <c r="AG100" s="246" t="s">
        <v>1769</v>
      </c>
      <c r="AH100" s="246" t="s">
        <v>1769</v>
      </c>
      <c r="AI100" s="246" t="s">
        <v>1769</v>
      </c>
      <c r="AJ100" s="246" t="s">
        <v>1769</v>
      </c>
    </row>
    <row r="101" spans="1:36">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08" t="s">
        <v>1769</v>
      </c>
      <c r="P101" s="209" t="s">
        <v>1224</v>
      </c>
      <c r="Q101" s="205" t="s">
        <v>1769</v>
      </c>
      <c r="R101" s="211" t="s">
        <v>570</v>
      </c>
      <c r="S101" s="205" t="s">
        <v>1176</v>
      </c>
      <c r="T101" s="210" t="s">
        <v>1769</v>
      </c>
      <c r="U101" s="206" t="s">
        <v>1769</v>
      </c>
      <c r="V101" s="206" t="s">
        <v>1769</v>
      </c>
      <c r="W101" s="205" t="s">
        <v>1769</v>
      </c>
      <c r="X101" s="205" t="s">
        <v>1769</v>
      </c>
      <c r="Y101" s="208" t="s">
        <v>1769</v>
      </c>
      <c r="Z101" s="205" t="s">
        <v>254</v>
      </c>
      <c r="AA101" s="205" t="s">
        <v>1769</v>
      </c>
      <c r="AB101" s="205" t="s">
        <v>254</v>
      </c>
      <c r="AC101" s="205" t="s">
        <v>163</v>
      </c>
      <c r="AD101" s="209" t="s">
        <v>323</v>
      </c>
      <c r="AE101" s="246" t="s">
        <v>1769</v>
      </c>
      <c r="AF101" s="246" t="s">
        <v>1769</v>
      </c>
      <c r="AG101" s="246" t="s">
        <v>1769</v>
      </c>
      <c r="AH101" s="246" t="s">
        <v>1769</v>
      </c>
      <c r="AI101" s="246" t="s">
        <v>1769</v>
      </c>
      <c r="AJ101" s="246" t="s">
        <v>1769</v>
      </c>
    </row>
    <row r="102" spans="1:36">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17" t="s">
        <v>1769</v>
      </c>
      <c r="P102" s="215" t="s">
        <v>1224</v>
      </c>
      <c r="Q102" s="215" t="s">
        <v>1769</v>
      </c>
      <c r="R102" s="215" t="s">
        <v>1769</v>
      </c>
      <c r="S102" s="215" t="s">
        <v>1176</v>
      </c>
      <c r="T102" s="216" t="s">
        <v>1769</v>
      </c>
      <c r="U102" s="215" t="s">
        <v>1769</v>
      </c>
      <c r="V102" s="215" t="s">
        <v>1769</v>
      </c>
      <c r="W102" s="215" t="s">
        <v>1769</v>
      </c>
      <c r="X102" s="215" t="s">
        <v>1769</v>
      </c>
      <c r="Y102" s="217" t="s">
        <v>1769</v>
      </c>
      <c r="Z102" s="215" t="s">
        <v>1049</v>
      </c>
      <c r="AA102" s="215" t="s">
        <v>1769</v>
      </c>
      <c r="AB102" s="215" t="s">
        <v>254</v>
      </c>
      <c r="AC102" s="215" t="s">
        <v>163</v>
      </c>
      <c r="AD102" s="216" t="s">
        <v>323</v>
      </c>
      <c r="AE102" s="215" t="s">
        <v>1769</v>
      </c>
      <c r="AF102" s="215" t="s">
        <v>1769</v>
      </c>
      <c r="AG102" s="215" t="s">
        <v>1769</v>
      </c>
      <c r="AH102" s="215" t="s">
        <v>1769</v>
      </c>
      <c r="AI102" s="215" t="s">
        <v>1769</v>
      </c>
      <c r="AJ102" s="215" t="s">
        <v>1769</v>
      </c>
    </row>
    <row r="103" spans="1:36">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08" t="s">
        <v>1769</v>
      </c>
      <c r="P103" s="209" t="s">
        <v>1224</v>
      </c>
      <c r="Q103" s="205" t="s">
        <v>1769</v>
      </c>
      <c r="R103" s="211" t="s">
        <v>570</v>
      </c>
      <c r="S103" s="205" t="s">
        <v>1176</v>
      </c>
      <c r="T103" s="210" t="s">
        <v>1769</v>
      </c>
      <c r="U103" s="206" t="s">
        <v>1769</v>
      </c>
      <c r="V103" s="206" t="s">
        <v>1769</v>
      </c>
      <c r="W103" s="205" t="s">
        <v>1769</v>
      </c>
      <c r="X103" s="205" t="s">
        <v>1769</v>
      </c>
      <c r="Y103" s="208" t="s">
        <v>1769</v>
      </c>
      <c r="Z103" s="205" t="s">
        <v>254</v>
      </c>
      <c r="AA103" s="205" t="s">
        <v>1769</v>
      </c>
      <c r="AB103" s="205" t="s">
        <v>254</v>
      </c>
      <c r="AC103" s="205" t="s">
        <v>163</v>
      </c>
      <c r="AD103" s="209" t="s">
        <v>323</v>
      </c>
      <c r="AE103" s="246" t="s">
        <v>1769</v>
      </c>
      <c r="AF103" s="246" t="s">
        <v>1769</v>
      </c>
      <c r="AG103" s="246" t="s">
        <v>1769</v>
      </c>
      <c r="AH103" s="246" t="s">
        <v>1769</v>
      </c>
      <c r="AI103" s="246" t="s">
        <v>1769</v>
      </c>
      <c r="AJ103" s="246" t="s">
        <v>1769</v>
      </c>
    </row>
    <row r="104" spans="1:36">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08" t="s">
        <v>1769</v>
      </c>
      <c r="P104" s="209" t="s">
        <v>1224</v>
      </c>
      <c r="Q104" s="205" t="s">
        <v>1769</v>
      </c>
      <c r="R104" s="211" t="s">
        <v>570</v>
      </c>
      <c r="S104" s="205" t="s">
        <v>1176</v>
      </c>
      <c r="T104" s="210" t="s">
        <v>1769</v>
      </c>
      <c r="U104" s="206" t="s">
        <v>1769</v>
      </c>
      <c r="V104" s="206" t="s">
        <v>1769</v>
      </c>
      <c r="W104" s="205" t="s">
        <v>1769</v>
      </c>
      <c r="X104" s="205" t="s">
        <v>1769</v>
      </c>
      <c r="Y104" s="208" t="s">
        <v>1769</v>
      </c>
      <c r="Z104" s="205" t="s">
        <v>254</v>
      </c>
      <c r="AA104" s="205" t="s">
        <v>1769</v>
      </c>
      <c r="AB104" s="205" t="s">
        <v>254</v>
      </c>
      <c r="AC104" s="205" t="s">
        <v>163</v>
      </c>
      <c r="AD104" s="209" t="s">
        <v>323</v>
      </c>
      <c r="AE104" s="246" t="s">
        <v>1769</v>
      </c>
      <c r="AF104" s="246" t="s">
        <v>1769</v>
      </c>
      <c r="AG104" s="246" t="s">
        <v>1769</v>
      </c>
      <c r="AH104" s="246" t="s">
        <v>1769</v>
      </c>
      <c r="AI104" s="246" t="s">
        <v>1769</v>
      </c>
      <c r="AJ104" s="246" t="s">
        <v>1769</v>
      </c>
    </row>
    <row r="105" spans="1:36">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08" t="s">
        <v>1769</v>
      </c>
      <c r="P105" s="209" t="s">
        <v>1224</v>
      </c>
      <c r="Q105" s="205" t="s">
        <v>1769</v>
      </c>
      <c r="R105" s="211" t="s">
        <v>570</v>
      </c>
      <c r="S105" s="205" t="s">
        <v>1176</v>
      </c>
      <c r="T105" s="210" t="s">
        <v>1769</v>
      </c>
      <c r="U105" s="206" t="s">
        <v>1769</v>
      </c>
      <c r="V105" s="206" t="s">
        <v>1769</v>
      </c>
      <c r="W105" s="205" t="s">
        <v>1769</v>
      </c>
      <c r="X105" s="205" t="s">
        <v>1769</v>
      </c>
      <c r="Y105" s="208" t="s">
        <v>1769</v>
      </c>
      <c r="Z105" s="205" t="s">
        <v>254</v>
      </c>
      <c r="AA105" s="205" t="s">
        <v>1769</v>
      </c>
      <c r="AB105" s="205" t="s">
        <v>254</v>
      </c>
      <c r="AC105" s="205" t="s">
        <v>163</v>
      </c>
      <c r="AD105" s="209" t="s">
        <v>323</v>
      </c>
      <c r="AE105" s="246" t="s">
        <v>1769</v>
      </c>
      <c r="AF105" s="246" t="s">
        <v>1769</v>
      </c>
      <c r="AG105" s="246" t="s">
        <v>1769</v>
      </c>
      <c r="AH105" s="246" t="s">
        <v>1769</v>
      </c>
      <c r="AI105" s="246" t="s">
        <v>1769</v>
      </c>
      <c r="AJ105" s="246" t="s">
        <v>1769</v>
      </c>
    </row>
    <row r="106" spans="1:36">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08" t="s">
        <v>1769</v>
      </c>
      <c r="P106" s="209" t="s">
        <v>1224</v>
      </c>
      <c r="Q106" s="205" t="s">
        <v>1769</v>
      </c>
      <c r="R106" s="211" t="s">
        <v>570</v>
      </c>
      <c r="S106" s="205" t="s">
        <v>1176</v>
      </c>
      <c r="T106" s="210" t="s">
        <v>1769</v>
      </c>
      <c r="U106" s="206" t="s">
        <v>1769</v>
      </c>
      <c r="V106" s="206" t="s">
        <v>1769</v>
      </c>
      <c r="W106" s="205" t="s">
        <v>1769</v>
      </c>
      <c r="X106" s="205" t="s">
        <v>1769</v>
      </c>
      <c r="Y106" s="208" t="s">
        <v>1769</v>
      </c>
      <c r="Z106" s="205" t="s">
        <v>254</v>
      </c>
      <c r="AA106" s="205" t="s">
        <v>1769</v>
      </c>
      <c r="AB106" s="205" t="s">
        <v>254</v>
      </c>
      <c r="AC106" s="205" t="s">
        <v>163</v>
      </c>
      <c r="AD106" s="209" t="s">
        <v>323</v>
      </c>
      <c r="AE106" s="246" t="s">
        <v>1769</v>
      </c>
      <c r="AF106" s="246" t="s">
        <v>1769</v>
      </c>
      <c r="AG106" s="246" t="s">
        <v>1769</v>
      </c>
      <c r="AH106" s="246" t="s">
        <v>1769</v>
      </c>
      <c r="AI106" s="246" t="s">
        <v>1769</v>
      </c>
      <c r="AJ106" s="246" t="s">
        <v>1769</v>
      </c>
    </row>
    <row r="107" spans="1:36">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462</v>
      </c>
      <c r="M107" s="206" t="s">
        <v>1773</v>
      </c>
      <c r="N107" s="181">
        <v>43085</v>
      </c>
      <c r="O107" s="208">
        <v>236670</v>
      </c>
      <c r="P107" s="209" t="s">
        <v>1224</v>
      </c>
      <c r="Q107" s="205" t="s">
        <v>1769</v>
      </c>
      <c r="R107" s="211" t="s">
        <v>570</v>
      </c>
      <c r="S107" s="205" t="s">
        <v>1176</v>
      </c>
      <c r="T107" s="210" t="s">
        <v>1769</v>
      </c>
      <c r="U107" s="206" t="s">
        <v>1769</v>
      </c>
      <c r="V107" s="206" t="s">
        <v>1769</v>
      </c>
      <c r="W107" s="205" t="s">
        <v>1769</v>
      </c>
      <c r="X107" s="205" t="s">
        <v>1769</v>
      </c>
      <c r="Y107" s="208" t="s">
        <v>1769</v>
      </c>
      <c r="Z107" s="205" t="s">
        <v>254</v>
      </c>
      <c r="AA107" s="205" t="s">
        <v>1769</v>
      </c>
      <c r="AB107" s="205" t="s">
        <v>254</v>
      </c>
      <c r="AC107" s="205" t="s">
        <v>163</v>
      </c>
      <c r="AD107" s="209" t="s">
        <v>323</v>
      </c>
      <c r="AE107" s="246" t="s">
        <v>1769</v>
      </c>
      <c r="AF107" s="246" t="s">
        <v>1769</v>
      </c>
      <c r="AG107" s="246" t="s">
        <v>1769</v>
      </c>
      <c r="AH107" s="246" t="s">
        <v>1769</v>
      </c>
      <c r="AI107" s="246" t="s">
        <v>1769</v>
      </c>
      <c r="AJ107" s="246" t="s">
        <v>1769</v>
      </c>
    </row>
    <row r="108" spans="1:36">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08" t="s">
        <v>1769</v>
      </c>
      <c r="P108" s="209" t="s">
        <v>1224</v>
      </c>
      <c r="Q108" s="205" t="s">
        <v>1769</v>
      </c>
      <c r="R108" s="211" t="s">
        <v>570</v>
      </c>
      <c r="S108" s="205" t="s">
        <v>1176</v>
      </c>
      <c r="T108" s="210" t="s">
        <v>1769</v>
      </c>
      <c r="U108" s="206" t="s">
        <v>1769</v>
      </c>
      <c r="V108" s="206" t="s">
        <v>1769</v>
      </c>
      <c r="W108" s="205" t="s">
        <v>1769</v>
      </c>
      <c r="X108" s="205" t="s">
        <v>1769</v>
      </c>
      <c r="Y108" s="208" t="s">
        <v>1769</v>
      </c>
      <c r="Z108" s="205" t="s">
        <v>254</v>
      </c>
      <c r="AA108" s="205" t="s">
        <v>1769</v>
      </c>
      <c r="AB108" s="205" t="s">
        <v>254</v>
      </c>
      <c r="AC108" s="205" t="s">
        <v>163</v>
      </c>
      <c r="AD108" s="209" t="s">
        <v>323</v>
      </c>
      <c r="AE108" s="246" t="s">
        <v>1769</v>
      </c>
      <c r="AF108" s="246" t="s">
        <v>1769</v>
      </c>
      <c r="AG108" s="246" t="s">
        <v>1769</v>
      </c>
      <c r="AH108" s="246" t="s">
        <v>1769</v>
      </c>
      <c r="AI108" s="246" t="s">
        <v>1769</v>
      </c>
      <c r="AJ108" s="246" t="s">
        <v>1769</v>
      </c>
    </row>
    <row r="109" spans="1:36">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08" t="s">
        <v>1769</v>
      </c>
      <c r="P109" s="209" t="s">
        <v>1224</v>
      </c>
      <c r="Q109" s="205" t="s">
        <v>1769</v>
      </c>
      <c r="R109" s="211" t="s">
        <v>570</v>
      </c>
      <c r="S109" s="205" t="s">
        <v>1176</v>
      </c>
      <c r="T109" s="210" t="s">
        <v>1769</v>
      </c>
      <c r="U109" s="206" t="s">
        <v>1769</v>
      </c>
      <c r="V109" s="206" t="s">
        <v>1769</v>
      </c>
      <c r="W109" s="205" t="s">
        <v>1769</v>
      </c>
      <c r="X109" s="205" t="s">
        <v>1769</v>
      </c>
      <c r="Y109" s="208" t="s">
        <v>1769</v>
      </c>
      <c r="Z109" s="205" t="s">
        <v>254</v>
      </c>
      <c r="AA109" s="205" t="s">
        <v>1769</v>
      </c>
      <c r="AB109" s="205" t="s">
        <v>254</v>
      </c>
      <c r="AC109" s="205" t="s">
        <v>163</v>
      </c>
      <c r="AD109" s="209" t="s">
        <v>323</v>
      </c>
      <c r="AE109" s="246" t="s">
        <v>1769</v>
      </c>
      <c r="AF109" s="246" t="s">
        <v>1769</v>
      </c>
      <c r="AG109" s="246" t="s">
        <v>1769</v>
      </c>
      <c r="AH109" s="246" t="s">
        <v>1769</v>
      </c>
      <c r="AI109" s="246" t="s">
        <v>1769</v>
      </c>
      <c r="AJ109" s="246" t="s">
        <v>1769</v>
      </c>
    </row>
    <row r="110" spans="1:36"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08" t="s">
        <v>1769</v>
      </c>
      <c r="P110" s="209" t="s">
        <v>1224</v>
      </c>
      <c r="Q110" s="205" t="s">
        <v>1205</v>
      </c>
      <c r="R110" s="211" t="s">
        <v>405</v>
      </c>
      <c r="S110" s="205" t="s">
        <v>1176</v>
      </c>
      <c r="T110" s="210" t="s">
        <v>1312</v>
      </c>
      <c r="U110" s="206" t="s">
        <v>1769</v>
      </c>
      <c r="V110" s="206" t="s">
        <v>1769</v>
      </c>
      <c r="W110" s="205" t="s">
        <v>1769</v>
      </c>
      <c r="X110" s="205" t="s">
        <v>1769</v>
      </c>
      <c r="Y110" s="208" t="s">
        <v>1769</v>
      </c>
      <c r="Z110" s="205" t="s">
        <v>254</v>
      </c>
      <c r="AA110" s="205" t="s">
        <v>1769</v>
      </c>
      <c r="AB110" s="205" t="s">
        <v>254</v>
      </c>
      <c r="AC110" s="205" t="s">
        <v>163</v>
      </c>
      <c r="AD110" s="209" t="s">
        <v>323</v>
      </c>
      <c r="AE110" s="246" t="s">
        <v>1769</v>
      </c>
      <c r="AF110" s="246">
        <v>468400</v>
      </c>
      <c r="AG110" s="246">
        <v>555100</v>
      </c>
      <c r="AH110" s="246" t="s">
        <v>1769</v>
      </c>
      <c r="AI110" s="246" t="s">
        <v>1769</v>
      </c>
      <c r="AJ110" s="246" t="s">
        <v>1769</v>
      </c>
    </row>
    <row r="111" spans="1:36"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08" t="s">
        <v>1769</v>
      </c>
      <c r="P111" s="209" t="s">
        <v>1224</v>
      </c>
      <c r="Q111" s="205" t="s">
        <v>1205</v>
      </c>
      <c r="R111" s="211" t="s">
        <v>405</v>
      </c>
      <c r="S111" s="205" t="s">
        <v>1176</v>
      </c>
      <c r="T111" s="210" t="s">
        <v>1312</v>
      </c>
      <c r="U111" s="206" t="s">
        <v>1769</v>
      </c>
      <c r="V111" s="206" t="s">
        <v>1769</v>
      </c>
      <c r="W111" s="205" t="s">
        <v>1769</v>
      </c>
      <c r="X111" s="205" t="s">
        <v>1769</v>
      </c>
      <c r="Y111" s="208" t="s">
        <v>1769</v>
      </c>
      <c r="Z111" s="205" t="s">
        <v>254</v>
      </c>
      <c r="AA111" s="205" t="s">
        <v>1769</v>
      </c>
      <c r="AB111" s="205" t="s">
        <v>254</v>
      </c>
      <c r="AC111" s="205" t="s">
        <v>163</v>
      </c>
      <c r="AD111" s="209" t="s">
        <v>1317</v>
      </c>
      <c r="AE111" s="246">
        <v>411000</v>
      </c>
      <c r="AF111" s="246">
        <v>535500</v>
      </c>
      <c r="AG111" s="246" t="s">
        <v>1769</v>
      </c>
      <c r="AH111" s="246" t="s">
        <v>1769</v>
      </c>
      <c r="AI111" s="246" t="s">
        <v>1769</v>
      </c>
      <c r="AJ111" s="246" t="s">
        <v>1769</v>
      </c>
    </row>
    <row r="112" spans="1:36">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462</v>
      </c>
      <c r="M112" s="206" t="s">
        <v>1773</v>
      </c>
      <c r="N112" s="181">
        <v>42922</v>
      </c>
      <c r="O112" s="208">
        <v>234150</v>
      </c>
      <c r="P112" s="209" t="s">
        <v>1224</v>
      </c>
      <c r="Q112" s="205" t="s">
        <v>1205</v>
      </c>
      <c r="R112" s="211" t="s">
        <v>1769</v>
      </c>
      <c r="S112" s="205" t="s">
        <v>1176</v>
      </c>
      <c r="T112" s="205" t="s">
        <v>325</v>
      </c>
      <c r="U112" s="206" t="s">
        <v>1769</v>
      </c>
      <c r="V112" s="206" t="s">
        <v>1769</v>
      </c>
      <c r="W112" s="205" t="s">
        <v>1769</v>
      </c>
      <c r="X112" s="205" t="s">
        <v>1769</v>
      </c>
      <c r="Y112" s="208" t="s">
        <v>1769</v>
      </c>
      <c r="Z112" s="205" t="s">
        <v>254</v>
      </c>
      <c r="AA112" s="205" t="s">
        <v>1769</v>
      </c>
      <c r="AB112" s="205" t="s">
        <v>254</v>
      </c>
      <c r="AC112" s="205" t="s">
        <v>163</v>
      </c>
      <c r="AD112" s="209" t="s">
        <v>323</v>
      </c>
      <c r="AE112" s="246" t="s">
        <v>1769</v>
      </c>
      <c r="AF112" s="246">
        <v>133700</v>
      </c>
      <c r="AG112" s="246">
        <v>256700</v>
      </c>
      <c r="AH112" s="246" t="s">
        <v>1769</v>
      </c>
      <c r="AI112" s="246" t="s">
        <v>1769</v>
      </c>
      <c r="AJ112" s="246" t="s">
        <v>1769</v>
      </c>
    </row>
    <row r="113" spans="1:36"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462</v>
      </c>
      <c r="M113" s="206" t="s">
        <v>1776</v>
      </c>
      <c r="N113" s="181">
        <v>42285</v>
      </c>
      <c r="O113" s="208">
        <v>69984</v>
      </c>
      <c r="P113" s="209" t="s">
        <v>1224</v>
      </c>
      <c r="Q113" s="205" t="s">
        <v>1205</v>
      </c>
      <c r="R113" s="211" t="s">
        <v>1769</v>
      </c>
      <c r="S113" s="205" t="s">
        <v>1176</v>
      </c>
      <c r="T113" s="210" t="s">
        <v>1226</v>
      </c>
      <c r="U113" s="206" t="s">
        <v>1769</v>
      </c>
      <c r="V113" s="206" t="s">
        <v>1769</v>
      </c>
      <c r="W113" s="205" t="s">
        <v>1769</v>
      </c>
      <c r="X113" s="205" t="s">
        <v>1769</v>
      </c>
      <c r="Y113" s="208" t="s">
        <v>1769</v>
      </c>
      <c r="Z113" s="205" t="s">
        <v>254</v>
      </c>
      <c r="AA113" s="205" t="s">
        <v>1769</v>
      </c>
      <c r="AB113" s="205" t="s">
        <v>254</v>
      </c>
      <c r="AC113" s="205" t="s">
        <v>163</v>
      </c>
      <c r="AD113" s="209" t="s">
        <v>323</v>
      </c>
      <c r="AE113" s="246" t="s">
        <v>1769</v>
      </c>
      <c r="AF113" s="246">
        <v>821000</v>
      </c>
      <c r="AG113" s="246">
        <v>855000</v>
      </c>
      <c r="AH113" s="246" t="s">
        <v>1769</v>
      </c>
      <c r="AI113" s="246" t="s">
        <v>1769</v>
      </c>
      <c r="AJ113" s="246" t="s">
        <v>1769</v>
      </c>
    </row>
    <row r="114" spans="1:36"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462</v>
      </c>
      <c r="M114" s="206" t="s">
        <v>1776</v>
      </c>
      <c r="N114" s="181">
        <v>42489</v>
      </c>
      <c r="O114" s="212">
        <v>86400</v>
      </c>
      <c r="P114" s="205" t="s">
        <v>1224</v>
      </c>
      <c r="Q114" s="205" t="s">
        <v>1205</v>
      </c>
      <c r="R114" s="213">
        <v>5098</v>
      </c>
      <c r="S114" s="205" t="s">
        <v>1176</v>
      </c>
      <c r="T114" s="205" t="s">
        <v>1769</v>
      </c>
      <c r="U114" s="205" t="s">
        <v>1769</v>
      </c>
      <c r="V114" s="205" t="s">
        <v>1769</v>
      </c>
      <c r="W114" s="205" t="s">
        <v>1769</v>
      </c>
      <c r="X114" s="205" t="s">
        <v>1769</v>
      </c>
      <c r="Y114" s="212" t="s">
        <v>1769</v>
      </c>
      <c r="Z114" s="205" t="s">
        <v>254</v>
      </c>
      <c r="AA114" s="205" t="s">
        <v>1769</v>
      </c>
      <c r="AB114" s="205" t="s">
        <v>254</v>
      </c>
      <c r="AC114" s="205" t="s">
        <v>1769</v>
      </c>
      <c r="AD114" s="205" t="s">
        <v>1769</v>
      </c>
      <c r="AE114" s="246" t="s">
        <v>1769</v>
      </c>
      <c r="AF114" s="246">
        <v>645600</v>
      </c>
      <c r="AG114" s="246">
        <v>751500</v>
      </c>
      <c r="AH114" s="246" t="s">
        <v>1769</v>
      </c>
      <c r="AI114" s="246" t="s">
        <v>1769</v>
      </c>
      <c r="AJ114" s="246" t="s">
        <v>1769</v>
      </c>
    </row>
    <row r="115" spans="1:36">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1051</v>
      </c>
      <c r="M115" s="206" t="s">
        <v>1051</v>
      </c>
      <c r="N115" s="205" t="s">
        <v>1769</v>
      </c>
      <c r="O115" s="220" t="s">
        <v>1769</v>
      </c>
      <c r="P115" s="206" t="s">
        <v>400</v>
      </c>
      <c r="Q115" s="205" t="s">
        <v>1769</v>
      </c>
      <c r="R115" s="205" t="s">
        <v>1769</v>
      </c>
      <c r="S115" s="205" t="s">
        <v>1184</v>
      </c>
      <c r="T115" s="205" t="s">
        <v>1769</v>
      </c>
      <c r="U115" s="205" t="s">
        <v>1769</v>
      </c>
      <c r="V115" s="205" t="s">
        <v>1769</v>
      </c>
      <c r="W115" s="205" t="s">
        <v>1769</v>
      </c>
      <c r="X115" s="205" t="s">
        <v>1769</v>
      </c>
      <c r="Y115" s="221" t="s">
        <v>1076</v>
      </c>
      <c r="Z115" s="205" t="s">
        <v>1769</v>
      </c>
      <c r="AA115" s="205" t="s">
        <v>1736</v>
      </c>
      <c r="AB115" s="205" t="s">
        <v>254</v>
      </c>
      <c r="AC115" s="205" t="s">
        <v>1769</v>
      </c>
      <c r="AD115" s="205" t="s">
        <v>1769</v>
      </c>
      <c r="AE115" s="246" t="s">
        <v>1769</v>
      </c>
      <c r="AF115" s="246" t="s">
        <v>1769</v>
      </c>
      <c r="AG115" s="246" t="s">
        <v>1769</v>
      </c>
      <c r="AH115" s="246" t="s">
        <v>1769</v>
      </c>
      <c r="AI115" s="246" t="s">
        <v>1769</v>
      </c>
      <c r="AJ115" s="246" t="s">
        <v>1769</v>
      </c>
    </row>
    <row r="116" spans="1:36">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1051</v>
      </c>
      <c r="M116" s="206" t="s">
        <v>1801</v>
      </c>
      <c r="N116" s="205" t="s">
        <v>1769</v>
      </c>
      <c r="O116" s="220" t="s">
        <v>1769</v>
      </c>
      <c r="P116" s="206" t="s">
        <v>400</v>
      </c>
      <c r="Q116" s="205" t="s">
        <v>1769</v>
      </c>
      <c r="R116" s="205" t="s">
        <v>1769</v>
      </c>
      <c r="S116" s="205" t="s">
        <v>1184</v>
      </c>
      <c r="T116" s="205" t="s">
        <v>1769</v>
      </c>
      <c r="U116" s="205" t="s">
        <v>1769</v>
      </c>
      <c r="V116" s="205" t="s">
        <v>1769</v>
      </c>
      <c r="W116" s="205" t="s">
        <v>1769</v>
      </c>
      <c r="X116" s="205" t="s">
        <v>1769</v>
      </c>
      <c r="Y116" s="221" t="s">
        <v>1067</v>
      </c>
      <c r="Z116" s="205" t="s">
        <v>1769</v>
      </c>
      <c r="AA116" s="205" t="s">
        <v>1736</v>
      </c>
      <c r="AB116" s="205" t="s">
        <v>254</v>
      </c>
      <c r="AC116" s="205" t="s">
        <v>1769</v>
      </c>
      <c r="AD116" s="205" t="s">
        <v>1769</v>
      </c>
      <c r="AE116" s="246" t="s">
        <v>1769</v>
      </c>
      <c r="AF116" s="246" t="s">
        <v>1769</v>
      </c>
      <c r="AG116" s="246" t="s">
        <v>1769</v>
      </c>
      <c r="AH116" s="246" t="s">
        <v>1769</v>
      </c>
      <c r="AI116" s="246" t="s">
        <v>1769</v>
      </c>
      <c r="AJ116" s="246" t="s">
        <v>1769</v>
      </c>
    </row>
    <row r="117" spans="1:36">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1051</v>
      </c>
      <c r="M117" s="206" t="s">
        <v>1051</v>
      </c>
      <c r="N117" s="205" t="s">
        <v>1769</v>
      </c>
      <c r="O117" s="220" t="s">
        <v>1769</v>
      </c>
      <c r="P117" s="206" t="s">
        <v>1054</v>
      </c>
      <c r="Q117" s="205" t="s">
        <v>1769</v>
      </c>
      <c r="R117" s="205" t="s">
        <v>1769</v>
      </c>
      <c r="S117" s="205" t="s">
        <v>1184</v>
      </c>
      <c r="T117" s="205" t="s">
        <v>1769</v>
      </c>
      <c r="U117" s="205" t="s">
        <v>1769</v>
      </c>
      <c r="V117" s="205" t="s">
        <v>1769</v>
      </c>
      <c r="W117" s="205" t="s">
        <v>1769</v>
      </c>
      <c r="X117" s="205" t="s">
        <v>1769</v>
      </c>
      <c r="Y117" s="221" t="s">
        <v>1061</v>
      </c>
      <c r="Z117" s="205" t="s">
        <v>1769</v>
      </c>
      <c r="AA117" s="205" t="s">
        <v>1736</v>
      </c>
      <c r="AB117" s="205" t="s">
        <v>254</v>
      </c>
      <c r="AC117" s="205" t="s">
        <v>1769</v>
      </c>
      <c r="AD117" s="205" t="s">
        <v>1769</v>
      </c>
      <c r="AE117" s="246" t="s">
        <v>1769</v>
      </c>
      <c r="AF117" s="246" t="s">
        <v>1769</v>
      </c>
      <c r="AG117" s="246" t="s">
        <v>1769</v>
      </c>
      <c r="AH117" s="246" t="s">
        <v>1769</v>
      </c>
      <c r="AI117" s="246" t="s">
        <v>1769</v>
      </c>
      <c r="AJ117" s="246" t="s">
        <v>1769</v>
      </c>
    </row>
    <row r="118" spans="1:36">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1051</v>
      </c>
      <c r="M118" s="206" t="s">
        <v>1051</v>
      </c>
      <c r="N118" s="205" t="s">
        <v>1769</v>
      </c>
      <c r="O118" s="220" t="s">
        <v>1769</v>
      </c>
      <c r="P118" s="206" t="s">
        <v>402</v>
      </c>
      <c r="Q118" s="205" t="s">
        <v>1769</v>
      </c>
      <c r="R118" s="205" t="s">
        <v>1769</v>
      </c>
      <c r="S118" s="205" t="s">
        <v>1184</v>
      </c>
      <c r="T118" s="205" t="s">
        <v>1769</v>
      </c>
      <c r="U118" s="205" t="s">
        <v>1769</v>
      </c>
      <c r="V118" s="205" t="s">
        <v>1769</v>
      </c>
      <c r="W118" s="205" t="s">
        <v>1769</v>
      </c>
      <c r="X118" s="205" t="s">
        <v>1769</v>
      </c>
      <c r="Y118" s="221" t="s">
        <v>1072</v>
      </c>
      <c r="Z118" s="205" t="s">
        <v>1769</v>
      </c>
      <c r="AA118" s="205" t="s">
        <v>1736</v>
      </c>
      <c r="AB118" s="205" t="s">
        <v>254</v>
      </c>
      <c r="AC118" s="205" t="s">
        <v>1769</v>
      </c>
      <c r="AD118" s="205" t="s">
        <v>1769</v>
      </c>
      <c r="AE118" s="246" t="s">
        <v>1769</v>
      </c>
      <c r="AF118" s="246" t="s">
        <v>1769</v>
      </c>
      <c r="AG118" s="246" t="s">
        <v>1769</v>
      </c>
      <c r="AH118" s="246" t="s">
        <v>1769</v>
      </c>
      <c r="AI118" s="246" t="s">
        <v>1769</v>
      </c>
      <c r="AJ118" s="246" t="s">
        <v>1769</v>
      </c>
    </row>
    <row r="119" spans="1:36"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1051</v>
      </c>
      <c r="M119" s="206" t="s">
        <v>1051</v>
      </c>
      <c r="N119" s="205" t="s">
        <v>1769</v>
      </c>
      <c r="O119" s="220" t="s">
        <v>1769</v>
      </c>
      <c r="P119" s="206" t="s">
        <v>402</v>
      </c>
      <c r="Q119" s="205" t="s">
        <v>1769</v>
      </c>
      <c r="R119" s="205" t="s">
        <v>1769</v>
      </c>
      <c r="S119" s="205" t="s">
        <v>1184</v>
      </c>
      <c r="T119" s="205" t="s">
        <v>1769</v>
      </c>
      <c r="U119" s="205" t="s">
        <v>1769</v>
      </c>
      <c r="V119" s="205" t="s">
        <v>1769</v>
      </c>
      <c r="W119" s="205" t="s">
        <v>1769</v>
      </c>
      <c r="X119" s="205" t="s">
        <v>1769</v>
      </c>
      <c r="Y119" s="268" t="s">
        <v>1802</v>
      </c>
      <c r="Z119" s="205" t="s">
        <v>1769</v>
      </c>
      <c r="AA119" s="205" t="s">
        <v>1736</v>
      </c>
      <c r="AB119" s="205" t="s">
        <v>254</v>
      </c>
      <c r="AC119" s="205" t="s">
        <v>1769</v>
      </c>
      <c r="AD119" s="205" t="s">
        <v>1769</v>
      </c>
      <c r="AE119" s="246" t="s">
        <v>1769</v>
      </c>
      <c r="AF119" s="246" t="s">
        <v>1769</v>
      </c>
      <c r="AG119" s="246" t="s">
        <v>1769</v>
      </c>
      <c r="AH119" s="246" t="s">
        <v>1769</v>
      </c>
      <c r="AI119" s="246" t="s">
        <v>1769</v>
      </c>
      <c r="AJ119" s="246" t="s">
        <v>1769</v>
      </c>
    </row>
    <row r="120" spans="1:36"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1051</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1769</v>
      </c>
      <c r="AD120" s="205" t="s">
        <v>1769</v>
      </c>
      <c r="AE120" s="246" t="s">
        <v>1769</v>
      </c>
      <c r="AF120" s="246" t="s">
        <v>1769</v>
      </c>
      <c r="AG120" s="246" t="s">
        <v>1769</v>
      </c>
      <c r="AH120" s="246" t="s">
        <v>1769</v>
      </c>
      <c r="AI120" s="246" t="s">
        <v>1769</v>
      </c>
      <c r="AJ120" s="246" t="s">
        <v>1769</v>
      </c>
    </row>
    <row r="121" spans="1:36">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462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163</v>
      </c>
      <c r="AD121" s="209" t="s">
        <v>323</v>
      </c>
      <c r="AE121" s="246" t="s">
        <v>1744</v>
      </c>
      <c r="AF121" s="246" t="s">
        <v>1745</v>
      </c>
      <c r="AG121" s="246" t="s">
        <v>1769</v>
      </c>
      <c r="AH121" s="246" t="s">
        <v>1769</v>
      </c>
      <c r="AI121" s="246" t="s">
        <v>1769</v>
      </c>
      <c r="AJ121" s="246" t="s">
        <v>1769</v>
      </c>
    </row>
    <row r="122" spans="1:36">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462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163</v>
      </c>
      <c r="AD122" s="209" t="s">
        <v>323</v>
      </c>
      <c r="AE122" s="246" t="s">
        <v>1769</v>
      </c>
      <c r="AF122" s="246" t="s">
        <v>1746</v>
      </c>
      <c r="AG122" s="246" t="s">
        <v>1747</v>
      </c>
      <c r="AH122" s="246" t="s">
        <v>1769</v>
      </c>
      <c r="AI122" s="246" t="s">
        <v>1769</v>
      </c>
      <c r="AJ122" s="246" t="s">
        <v>1769</v>
      </c>
    </row>
    <row r="123" spans="1:36">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163</v>
      </c>
      <c r="AD123" s="209" t="s">
        <v>323</v>
      </c>
      <c r="AE123" s="246" t="s">
        <v>1769</v>
      </c>
      <c r="AF123" s="246" t="s">
        <v>1748</v>
      </c>
      <c r="AG123" s="246" t="s">
        <v>1749</v>
      </c>
      <c r="AH123" s="246" t="s">
        <v>1769</v>
      </c>
      <c r="AI123" s="246" t="s">
        <v>1769</v>
      </c>
      <c r="AJ123" s="246" t="s">
        <v>1769</v>
      </c>
    </row>
    <row r="124" spans="1:36"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462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163</v>
      </c>
      <c r="AD124" s="209" t="s">
        <v>323</v>
      </c>
      <c r="AE124" s="246" t="s">
        <v>1769</v>
      </c>
      <c r="AF124" s="246">
        <v>254600</v>
      </c>
      <c r="AG124" s="246">
        <v>277400</v>
      </c>
      <c r="AH124" s="246" t="s">
        <v>1769</v>
      </c>
      <c r="AI124" s="246" t="s">
        <v>1769</v>
      </c>
      <c r="AJ124" s="246" t="s">
        <v>1769</v>
      </c>
    </row>
    <row r="125" spans="1:36"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462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1769</v>
      </c>
      <c r="AD125" s="205" t="s">
        <v>1769</v>
      </c>
      <c r="AE125" s="246">
        <v>296900</v>
      </c>
      <c r="AF125" s="246">
        <v>348400</v>
      </c>
      <c r="AG125" s="246" t="s">
        <v>1769</v>
      </c>
      <c r="AH125" s="246" t="s">
        <v>1769</v>
      </c>
      <c r="AI125" s="246" t="s">
        <v>1769</v>
      </c>
      <c r="AJ125" s="246" t="s">
        <v>1769</v>
      </c>
    </row>
    <row r="126" spans="1:36"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462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1769</v>
      </c>
      <c r="AD126" s="205" t="s">
        <v>1769</v>
      </c>
      <c r="AE126" s="246" t="s">
        <v>1769</v>
      </c>
      <c r="AF126" s="246">
        <v>159900</v>
      </c>
      <c r="AG126" s="246">
        <v>188300</v>
      </c>
      <c r="AH126" s="246" t="s">
        <v>1769</v>
      </c>
      <c r="AI126" s="246" t="s">
        <v>1769</v>
      </c>
      <c r="AJ126" s="246" t="s">
        <v>1769</v>
      </c>
    </row>
    <row r="127" spans="1:36">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462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1769</v>
      </c>
      <c r="AD127" s="205" t="s">
        <v>1769</v>
      </c>
      <c r="AE127" s="246" t="s">
        <v>1769</v>
      </c>
      <c r="AF127" s="246">
        <v>515500</v>
      </c>
      <c r="AG127" s="246">
        <v>587900</v>
      </c>
      <c r="AH127" s="246" t="s">
        <v>1769</v>
      </c>
      <c r="AI127" s="246" t="s">
        <v>1769</v>
      </c>
      <c r="AJ127" s="246" t="s">
        <v>1769</v>
      </c>
    </row>
    <row r="128" spans="1:36">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66" t="s">
        <v>1770</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1769</v>
      </c>
      <c r="AD128" s="205" t="s">
        <v>1769</v>
      </c>
      <c r="AE128" s="246">
        <v>529600</v>
      </c>
      <c r="AF128" s="246">
        <v>590400</v>
      </c>
      <c r="AG128" s="246" t="s">
        <v>1769</v>
      </c>
      <c r="AH128" s="246" t="s">
        <v>1769</v>
      </c>
      <c r="AI128" s="246" t="s">
        <v>1769</v>
      </c>
      <c r="AJ128" s="246" t="s">
        <v>1769</v>
      </c>
    </row>
    <row r="129" spans="1:36">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462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1769</v>
      </c>
      <c r="AD129" s="205" t="s">
        <v>1769</v>
      </c>
      <c r="AE129" s="246" t="s">
        <v>1769</v>
      </c>
      <c r="AF129" s="246">
        <v>377900</v>
      </c>
      <c r="AG129" s="246">
        <v>302700</v>
      </c>
      <c r="AH129" s="246" t="s">
        <v>1769</v>
      </c>
      <c r="AI129" s="246" t="s">
        <v>1769</v>
      </c>
      <c r="AJ129" s="246" t="s">
        <v>1769</v>
      </c>
    </row>
    <row r="130" spans="1:36" ht="22.5">
      <c r="A130" s="205">
        <v>7605</v>
      </c>
      <c r="B130" s="205" t="s">
        <v>1385</v>
      </c>
      <c r="C130" s="254" t="s">
        <v>1759</v>
      </c>
      <c r="D130" s="206" t="str">
        <f t="shared" ref="D130:D151" si="2">CONCATENATE(B130,A130)</f>
        <v>習志野100か7605</v>
      </c>
      <c r="E130" s="205" t="s">
        <v>1401</v>
      </c>
      <c r="F130" s="205" t="s">
        <v>1402</v>
      </c>
      <c r="G130" s="205" t="s">
        <v>1400</v>
      </c>
      <c r="H130" s="206" t="s">
        <v>750</v>
      </c>
      <c r="I130" s="207" t="s">
        <v>1403</v>
      </c>
      <c r="J130" s="207" t="s">
        <v>1404</v>
      </c>
      <c r="K130" s="205" t="s">
        <v>1769</v>
      </c>
      <c r="L130" s="206" t="s">
        <v>462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1769</v>
      </c>
      <c r="AD130" s="205" t="s">
        <v>1769</v>
      </c>
      <c r="AE130" s="246" t="s">
        <v>1769</v>
      </c>
      <c r="AF130" s="246">
        <v>428500</v>
      </c>
      <c r="AG130" s="246">
        <v>529300</v>
      </c>
      <c r="AH130" s="246" t="s">
        <v>1769</v>
      </c>
      <c r="AI130" s="246" t="s">
        <v>1769</v>
      </c>
      <c r="AJ130" s="246" t="s">
        <v>1769</v>
      </c>
    </row>
    <row r="131" spans="1:36">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163</v>
      </c>
      <c r="AD131" s="209" t="s">
        <v>323</v>
      </c>
      <c r="AE131" s="246" t="s">
        <v>1769</v>
      </c>
      <c r="AF131" s="246">
        <v>785600</v>
      </c>
      <c r="AG131" s="246">
        <v>906400</v>
      </c>
      <c r="AH131" s="246" t="s">
        <v>1769</v>
      </c>
      <c r="AI131" s="246" t="s">
        <v>1769</v>
      </c>
      <c r="AJ131" s="246" t="s">
        <v>1769</v>
      </c>
    </row>
    <row r="132" spans="1:36">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1091</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163</v>
      </c>
      <c r="AD132" s="269" t="s">
        <v>323</v>
      </c>
      <c r="AE132" s="269" t="s">
        <v>1769</v>
      </c>
      <c r="AF132" s="269" t="s">
        <v>1769</v>
      </c>
      <c r="AG132" s="269" t="s">
        <v>1769</v>
      </c>
      <c r="AH132" s="269" t="s">
        <v>1769</v>
      </c>
      <c r="AI132" s="269" t="s">
        <v>1769</v>
      </c>
      <c r="AJ132" s="269" t="s">
        <v>1769</v>
      </c>
    </row>
    <row r="133" spans="1:36">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1091</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1769</v>
      </c>
      <c r="AD133" s="269" t="s">
        <v>1769</v>
      </c>
      <c r="AE133" s="269" t="s">
        <v>1769</v>
      </c>
      <c r="AF133" s="269" t="s">
        <v>1769</v>
      </c>
      <c r="AG133" s="269" t="s">
        <v>1769</v>
      </c>
      <c r="AH133" s="269" t="s">
        <v>1769</v>
      </c>
      <c r="AI133" s="269" t="s">
        <v>1769</v>
      </c>
      <c r="AJ133" s="269" t="s">
        <v>1769</v>
      </c>
    </row>
    <row r="134" spans="1:36">
      <c r="A134" s="206">
        <v>4409</v>
      </c>
      <c r="B134" s="206" t="s">
        <v>505</v>
      </c>
      <c r="C134" s="253" t="s">
        <v>1805</v>
      </c>
      <c r="D134" s="219" t="str">
        <f t="shared" si="2"/>
        <v>宮城100き4409</v>
      </c>
      <c r="E134" s="206" t="s">
        <v>194</v>
      </c>
      <c r="F134" s="206" t="s">
        <v>1513</v>
      </c>
      <c r="G134" s="206" t="s">
        <v>324</v>
      </c>
      <c r="H134" s="219" t="s">
        <v>1514</v>
      </c>
      <c r="I134" s="206" t="s">
        <v>1769</v>
      </c>
      <c r="J134" s="206" t="s">
        <v>1769</v>
      </c>
      <c r="K134" s="206" t="s">
        <v>368</v>
      </c>
      <c r="L134" s="265" t="s">
        <v>162</v>
      </c>
      <c r="M134" s="206" t="s">
        <v>1769</v>
      </c>
      <c r="N134" s="206" t="s">
        <v>1769</v>
      </c>
      <c r="O134" s="206" t="s">
        <v>1769</v>
      </c>
      <c r="P134" s="206" t="s">
        <v>400</v>
      </c>
      <c r="Q134" s="206" t="s">
        <v>404</v>
      </c>
      <c r="R134" s="206" t="s">
        <v>1769</v>
      </c>
      <c r="S134" s="206" t="s">
        <v>1769</v>
      </c>
      <c r="T134" s="206" t="s">
        <v>1512</v>
      </c>
      <c r="U134" s="206" t="s">
        <v>1769</v>
      </c>
      <c r="V134" s="206" t="s">
        <v>1769</v>
      </c>
      <c r="W134" s="206" t="s">
        <v>1769</v>
      </c>
      <c r="X134" s="206" t="s">
        <v>1147</v>
      </c>
      <c r="Y134" s="206" t="s">
        <v>1769</v>
      </c>
      <c r="Z134" s="206" t="s">
        <v>1769</v>
      </c>
      <c r="AA134" s="206" t="s">
        <v>1769</v>
      </c>
      <c r="AB134" s="206" t="s">
        <v>1049</v>
      </c>
      <c r="AC134" s="206" t="s">
        <v>163</v>
      </c>
      <c r="AD134" s="206" t="s">
        <v>323</v>
      </c>
      <c r="AE134" s="246" t="s">
        <v>1769</v>
      </c>
      <c r="AF134" s="246" t="s">
        <v>1769</v>
      </c>
      <c r="AG134" s="246" t="s">
        <v>1769</v>
      </c>
      <c r="AH134" s="246" t="s">
        <v>1769</v>
      </c>
      <c r="AI134" s="246" t="s">
        <v>1769</v>
      </c>
      <c r="AJ134" s="246" t="s">
        <v>1769</v>
      </c>
    </row>
    <row r="135" spans="1:36" ht="13.5">
      <c r="A135" s="206">
        <v>2720</v>
      </c>
      <c r="B135" s="206" t="s">
        <v>512</v>
      </c>
      <c r="C135" s="253" t="s">
        <v>1805</v>
      </c>
      <c r="D135" s="219" t="str">
        <f t="shared" si="2"/>
        <v>宮城400あ2720</v>
      </c>
      <c r="E135" s="206" t="s">
        <v>195</v>
      </c>
      <c r="F135" s="206" t="s">
        <v>1330</v>
      </c>
      <c r="G135" s="206" t="s">
        <v>1328</v>
      </c>
      <c r="H135" s="219" t="s">
        <v>1516</v>
      </c>
      <c r="I135" s="206" t="s">
        <v>1769</v>
      </c>
      <c r="J135" s="206" t="s">
        <v>1769</v>
      </c>
      <c r="K135" s="206" t="s">
        <v>1806</v>
      </c>
      <c r="L135" s="265" t="s">
        <v>162</v>
      </c>
      <c r="M135" s="206" t="s">
        <v>1769</v>
      </c>
      <c r="N135" s="206" t="s">
        <v>1769</v>
      </c>
      <c r="O135" s="206" t="s">
        <v>1769</v>
      </c>
      <c r="P135" s="206" t="s">
        <v>402</v>
      </c>
      <c r="Q135" s="206" t="s">
        <v>401</v>
      </c>
      <c r="R135" s="206" t="s">
        <v>1769</v>
      </c>
      <c r="S135" s="206" t="s">
        <v>1769</v>
      </c>
      <c r="T135" s="206" t="s">
        <v>1515</v>
      </c>
      <c r="U135" s="206" t="s">
        <v>1769</v>
      </c>
      <c r="V135" s="206" t="s">
        <v>1769</v>
      </c>
      <c r="W135" s="247" t="s">
        <v>1769</v>
      </c>
      <c r="X135" s="206" t="s">
        <v>1768</v>
      </c>
      <c r="Y135" s="206" t="s">
        <v>1769</v>
      </c>
      <c r="Z135" s="206" t="s">
        <v>1769</v>
      </c>
      <c r="AA135" s="206" t="s">
        <v>1769</v>
      </c>
      <c r="AB135" s="206" t="s">
        <v>1049</v>
      </c>
      <c r="AC135" s="206" t="s">
        <v>163</v>
      </c>
      <c r="AD135" s="206" t="s">
        <v>323</v>
      </c>
      <c r="AE135" s="205" t="s">
        <v>1769</v>
      </c>
      <c r="AF135" s="246" t="s">
        <v>1769</v>
      </c>
      <c r="AG135" s="246" t="s">
        <v>1769</v>
      </c>
      <c r="AH135" s="246" t="s">
        <v>1769</v>
      </c>
      <c r="AI135" s="246" t="s">
        <v>1769</v>
      </c>
      <c r="AJ135" s="246" t="s">
        <v>1769</v>
      </c>
    </row>
    <row r="136" spans="1:36">
      <c r="A136" s="206">
        <v>4096</v>
      </c>
      <c r="B136" s="206" t="s">
        <v>510</v>
      </c>
      <c r="C136" s="253" t="s">
        <v>1805</v>
      </c>
      <c r="D136" s="219" t="str">
        <f t="shared" si="2"/>
        <v>三河100あ4096</v>
      </c>
      <c r="E136" s="206" t="s">
        <v>186</v>
      </c>
      <c r="F136" s="206" t="s">
        <v>1518</v>
      </c>
      <c r="G136" s="206" t="s">
        <v>172</v>
      </c>
      <c r="H136" s="219" t="s">
        <v>187</v>
      </c>
      <c r="I136" s="206" t="s">
        <v>1769</v>
      </c>
      <c r="J136" s="206" t="s">
        <v>1769</v>
      </c>
      <c r="K136" s="206" t="s">
        <v>181</v>
      </c>
      <c r="L136" s="265" t="s">
        <v>162</v>
      </c>
      <c r="M136" s="206" t="s">
        <v>1769</v>
      </c>
      <c r="N136" s="206" t="s">
        <v>1769</v>
      </c>
      <c r="O136" s="206" t="s">
        <v>1769</v>
      </c>
      <c r="P136" s="206" t="s">
        <v>400</v>
      </c>
      <c r="Q136" s="206" t="s">
        <v>401</v>
      </c>
      <c r="R136" s="206" t="s">
        <v>1769</v>
      </c>
      <c r="S136" s="206" t="s">
        <v>1769</v>
      </c>
      <c r="T136" s="206" t="s">
        <v>1267</v>
      </c>
      <c r="U136" s="206" t="s">
        <v>1769</v>
      </c>
      <c r="V136" s="206" t="s">
        <v>1769</v>
      </c>
      <c r="W136" s="206" t="s">
        <v>1769</v>
      </c>
      <c r="X136" s="206" t="s">
        <v>1147</v>
      </c>
      <c r="Y136" s="206" t="s">
        <v>1769</v>
      </c>
      <c r="Z136" s="206" t="s">
        <v>1769</v>
      </c>
      <c r="AA136" s="206" t="s">
        <v>1769</v>
      </c>
      <c r="AB136" s="206" t="s">
        <v>1049</v>
      </c>
      <c r="AC136" s="206" t="s">
        <v>163</v>
      </c>
      <c r="AD136" s="206" t="s">
        <v>323</v>
      </c>
      <c r="AE136" s="248" t="s">
        <v>1769</v>
      </c>
      <c r="AF136" s="246" t="s">
        <v>1769</v>
      </c>
      <c r="AG136" s="246" t="s">
        <v>1769</v>
      </c>
      <c r="AH136" s="246" t="s">
        <v>1769</v>
      </c>
      <c r="AI136" s="246" t="s">
        <v>1769</v>
      </c>
      <c r="AJ136" s="246" t="s">
        <v>1769</v>
      </c>
    </row>
    <row r="137" spans="1:36">
      <c r="A137" s="206">
        <v>747</v>
      </c>
      <c r="B137" s="206" t="s">
        <v>506</v>
      </c>
      <c r="C137" s="253" t="s">
        <v>1805</v>
      </c>
      <c r="D137" s="219" t="str">
        <f t="shared" si="2"/>
        <v>三河100え747</v>
      </c>
      <c r="E137" s="206" t="s">
        <v>394</v>
      </c>
      <c r="F137" s="206" t="s">
        <v>395</v>
      </c>
      <c r="G137" s="206" t="s">
        <v>1787</v>
      </c>
      <c r="H137" s="219" t="s">
        <v>1519</v>
      </c>
      <c r="I137" s="206" t="s">
        <v>1769</v>
      </c>
      <c r="J137" s="206" t="s">
        <v>1769</v>
      </c>
      <c r="K137" s="206" t="s">
        <v>360</v>
      </c>
      <c r="L137" s="265" t="s">
        <v>287</v>
      </c>
      <c r="M137" s="206" t="s">
        <v>1769</v>
      </c>
      <c r="N137" s="206" t="s">
        <v>1769</v>
      </c>
      <c r="O137" s="206" t="s">
        <v>1769</v>
      </c>
      <c r="P137" s="206" t="s">
        <v>400</v>
      </c>
      <c r="Q137" s="206" t="s">
        <v>401</v>
      </c>
      <c r="R137" s="206" t="s">
        <v>1769</v>
      </c>
      <c r="S137" s="206" t="s">
        <v>1769</v>
      </c>
      <c r="T137" s="206" t="s">
        <v>1769</v>
      </c>
      <c r="U137" s="206" t="s">
        <v>1769</v>
      </c>
      <c r="V137" s="206" t="s">
        <v>1769</v>
      </c>
      <c r="W137" s="206" t="s">
        <v>1769</v>
      </c>
      <c r="X137" s="206" t="s">
        <v>1751</v>
      </c>
      <c r="Y137" s="206" t="s">
        <v>1769</v>
      </c>
      <c r="Z137" s="206" t="s">
        <v>1769</v>
      </c>
      <c r="AA137" s="206" t="s">
        <v>1769</v>
      </c>
      <c r="AB137" s="206" t="s">
        <v>1049</v>
      </c>
      <c r="AC137" s="206" t="s">
        <v>294</v>
      </c>
      <c r="AD137" s="206" t="s">
        <v>1495</v>
      </c>
      <c r="AE137" s="246" t="s">
        <v>1769</v>
      </c>
      <c r="AF137" s="246" t="s">
        <v>1769</v>
      </c>
      <c r="AG137" s="246" t="s">
        <v>1769</v>
      </c>
      <c r="AH137" s="246" t="s">
        <v>1769</v>
      </c>
      <c r="AI137" s="246" t="s">
        <v>1769</v>
      </c>
      <c r="AJ137" s="246" t="s">
        <v>1769</v>
      </c>
    </row>
    <row r="138" spans="1:36">
      <c r="A138" s="206">
        <v>788</v>
      </c>
      <c r="B138" s="206" t="s">
        <v>506</v>
      </c>
      <c r="C138" s="253" t="s">
        <v>1805</v>
      </c>
      <c r="D138" s="219" t="str">
        <f t="shared" si="2"/>
        <v>三河100え788</v>
      </c>
      <c r="E138" s="206" t="s">
        <v>347</v>
      </c>
      <c r="F138" s="206" t="s">
        <v>348</v>
      </c>
      <c r="G138" s="206" t="s">
        <v>1520</v>
      </c>
      <c r="H138" s="219" t="s">
        <v>349</v>
      </c>
      <c r="I138" s="206" t="s">
        <v>1769</v>
      </c>
      <c r="J138" s="206" t="s">
        <v>1769</v>
      </c>
      <c r="K138" s="206" t="s">
        <v>1521</v>
      </c>
      <c r="L138" s="265" t="s">
        <v>162</v>
      </c>
      <c r="M138" s="206" t="s">
        <v>1769</v>
      </c>
      <c r="N138" s="206" t="s">
        <v>1769</v>
      </c>
      <c r="O138" s="206" t="s">
        <v>1769</v>
      </c>
      <c r="P138" s="206" t="s">
        <v>400</v>
      </c>
      <c r="Q138" s="206" t="s">
        <v>401</v>
      </c>
      <c r="R138" s="206" t="s">
        <v>551</v>
      </c>
      <c r="S138" s="206" t="s">
        <v>1769</v>
      </c>
      <c r="T138" s="206" t="s">
        <v>1769</v>
      </c>
      <c r="U138" s="206" t="s">
        <v>1769</v>
      </c>
      <c r="V138" s="206" t="s">
        <v>1769</v>
      </c>
      <c r="W138" s="206" t="s">
        <v>1769</v>
      </c>
      <c r="X138" s="206" t="s">
        <v>1751</v>
      </c>
      <c r="Y138" s="206" t="s">
        <v>1769</v>
      </c>
      <c r="Z138" s="206" t="s">
        <v>1769</v>
      </c>
      <c r="AA138" s="206" t="s">
        <v>1769</v>
      </c>
      <c r="AB138" s="206" t="s">
        <v>1049</v>
      </c>
      <c r="AC138" s="206" t="s">
        <v>163</v>
      </c>
      <c r="AD138" s="206" t="s">
        <v>323</v>
      </c>
      <c r="AE138" s="246" t="s">
        <v>1769</v>
      </c>
      <c r="AF138" s="246" t="s">
        <v>1769</v>
      </c>
      <c r="AG138" s="246" t="s">
        <v>1769</v>
      </c>
      <c r="AH138" s="246" t="s">
        <v>1769</v>
      </c>
      <c r="AI138" s="246" t="s">
        <v>1769</v>
      </c>
      <c r="AJ138" s="246" t="s">
        <v>1769</v>
      </c>
    </row>
    <row r="139" spans="1:36">
      <c r="A139" s="206">
        <v>928</v>
      </c>
      <c r="B139" s="206" t="s">
        <v>506</v>
      </c>
      <c r="C139" s="253" t="s">
        <v>1805</v>
      </c>
      <c r="D139" s="219" t="str">
        <f t="shared" si="2"/>
        <v>三河100え928</v>
      </c>
      <c r="E139" s="206" t="s">
        <v>396</v>
      </c>
      <c r="F139" s="206" t="s">
        <v>1522</v>
      </c>
      <c r="G139" s="206" t="s">
        <v>1785</v>
      </c>
      <c r="H139" s="219" t="s">
        <v>1523</v>
      </c>
      <c r="I139" s="206" t="s">
        <v>1769</v>
      </c>
      <c r="J139" s="206" t="s">
        <v>1769</v>
      </c>
      <c r="K139" s="206" t="s">
        <v>360</v>
      </c>
      <c r="L139" s="265" t="s">
        <v>287</v>
      </c>
      <c r="M139" s="206" t="s">
        <v>1769</v>
      </c>
      <c r="N139" s="206" t="s">
        <v>1769</v>
      </c>
      <c r="O139" s="206" t="s">
        <v>1769</v>
      </c>
      <c r="P139" s="206" t="s">
        <v>400</v>
      </c>
      <c r="Q139" s="206" t="s">
        <v>401</v>
      </c>
      <c r="R139" s="206" t="s">
        <v>1769</v>
      </c>
      <c r="S139" s="206" t="s">
        <v>1769</v>
      </c>
      <c r="T139" s="206" t="s">
        <v>1769</v>
      </c>
      <c r="U139" s="206" t="s">
        <v>1769</v>
      </c>
      <c r="V139" s="206" t="s">
        <v>1769</v>
      </c>
      <c r="W139" s="206" t="s">
        <v>1769</v>
      </c>
      <c r="X139" s="206" t="s">
        <v>1751</v>
      </c>
      <c r="Y139" s="206" t="s">
        <v>1769</v>
      </c>
      <c r="Z139" s="206" t="s">
        <v>1769</v>
      </c>
      <c r="AA139" s="206" t="s">
        <v>1769</v>
      </c>
      <c r="AB139" s="206" t="s">
        <v>1049</v>
      </c>
      <c r="AC139" s="206" t="s">
        <v>294</v>
      </c>
      <c r="AD139" s="206" t="s">
        <v>1495</v>
      </c>
      <c r="AE139" s="246" t="s">
        <v>1769</v>
      </c>
      <c r="AF139" s="246" t="s">
        <v>1769</v>
      </c>
      <c r="AG139" s="246" t="s">
        <v>1769</v>
      </c>
      <c r="AH139" s="246" t="s">
        <v>1769</v>
      </c>
      <c r="AI139" s="246" t="s">
        <v>1769</v>
      </c>
      <c r="AJ139" s="246" t="s">
        <v>1769</v>
      </c>
    </row>
    <row r="140" spans="1:36">
      <c r="A140" s="206">
        <v>929</v>
      </c>
      <c r="B140" s="206" t="s">
        <v>506</v>
      </c>
      <c r="C140" s="253" t="s">
        <v>1805</v>
      </c>
      <c r="D140" s="219" t="str">
        <f t="shared" si="2"/>
        <v>三河100え929</v>
      </c>
      <c r="E140" s="206" t="s">
        <v>397</v>
      </c>
      <c r="F140" s="206" t="s">
        <v>1524</v>
      </c>
      <c r="G140" s="206" t="s">
        <v>331</v>
      </c>
      <c r="H140" s="219" t="s">
        <v>1525</v>
      </c>
      <c r="I140" s="206" t="s">
        <v>1769</v>
      </c>
      <c r="J140" s="206" t="s">
        <v>1769</v>
      </c>
      <c r="K140" s="206" t="s">
        <v>360</v>
      </c>
      <c r="L140" s="265" t="s">
        <v>287</v>
      </c>
      <c r="M140" s="206" t="s">
        <v>1769</v>
      </c>
      <c r="N140" s="206" t="s">
        <v>1769</v>
      </c>
      <c r="O140" s="206" t="s">
        <v>1769</v>
      </c>
      <c r="P140" s="206" t="s">
        <v>400</v>
      </c>
      <c r="Q140" s="206" t="s">
        <v>401</v>
      </c>
      <c r="R140" s="206" t="s">
        <v>1769</v>
      </c>
      <c r="S140" s="206" t="s">
        <v>1769</v>
      </c>
      <c r="T140" s="206" t="s">
        <v>1769</v>
      </c>
      <c r="U140" s="206" t="s">
        <v>1769</v>
      </c>
      <c r="V140" s="206" t="s">
        <v>1769</v>
      </c>
      <c r="W140" s="206" t="s">
        <v>1769</v>
      </c>
      <c r="X140" s="206" t="s">
        <v>1147</v>
      </c>
      <c r="Y140" s="206" t="s">
        <v>1769</v>
      </c>
      <c r="Z140" s="206" t="s">
        <v>1769</v>
      </c>
      <c r="AA140" s="206" t="s">
        <v>1769</v>
      </c>
      <c r="AB140" s="206" t="s">
        <v>1049</v>
      </c>
      <c r="AC140" s="206" t="s">
        <v>294</v>
      </c>
      <c r="AD140" s="206" t="s">
        <v>1495</v>
      </c>
      <c r="AE140" s="246" t="s">
        <v>1769</v>
      </c>
      <c r="AF140" s="246" t="s">
        <v>1769</v>
      </c>
      <c r="AG140" s="246" t="s">
        <v>1769</v>
      </c>
      <c r="AH140" s="246" t="s">
        <v>1769</v>
      </c>
      <c r="AI140" s="246" t="s">
        <v>1769</v>
      </c>
      <c r="AJ140" s="246" t="s">
        <v>1769</v>
      </c>
    </row>
    <row r="141" spans="1:36">
      <c r="A141" s="206">
        <v>9606</v>
      </c>
      <c r="B141" s="206" t="s">
        <v>507</v>
      </c>
      <c r="C141" s="253" t="s">
        <v>1805</v>
      </c>
      <c r="D141" s="219" t="str">
        <f t="shared" si="2"/>
        <v>三河100か9606</v>
      </c>
      <c r="E141" s="206" t="s">
        <v>192</v>
      </c>
      <c r="F141" s="206" t="s">
        <v>1526</v>
      </c>
      <c r="G141" s="206" t="s">
        <v>1772</v>
      </c>
      <c r="H141" s="219" t="s">
        <v>1527</v>
      </c>
      <c r="I141" s="206" t="s">
        <v>1769</v>
      </c>
      <c r="J141" s="206" t="s">
        <v>1769</v>
      </c>
      <c r="K141" s="206" t="s">
        <v>1807</v>
      </c>
      <c r="L141" s="265" t="s">
        <v>162</v>
      </c>
      <c r="M141" s="206" t="s">
        <v>1769</v>
      </c>
      <c r="N141" s="206" t="s">
        <v>1769</v>
      </c>
      <c r="O141" s="206" t="s">
        <v>1769</v>
      </c>
      <c r="P141" s="206" t="s">
        <v>400</v>
      </c>
      <c r="Q141" s="206" t="s">
        <v>401</v>
      </c>
      <c r="R141" s="206" t="s">
        <v>1769</v>
      </c>
      <c r="S141" s="206" t="s">
        <v>1769</v>
      </c>
      <c r="T141" s="206" t="s">
        <v>1282</v>
      </c>
      <c r="U141" s="206" t="s">
        <v>1769</v>
      </c>
      <c r="V141" s="206" t="s">
        <v>1769</v>
      </c>
      <c r="W141" s="206" t="s">
        <v>1769</v>
      </c>
      <c r="X141" s="206" t="s">
        <v>1147</v>
      </c>
      <c r="Y141" s="206" t="s">
        <v>1769</v>
      </c>
      <c r="Z141" s="206" t="s">
        <v>1769</v>
      </c>
      <c r="AA141" s="206" t="s">
        <v>1769</v>
      </c>
      <c r="AB141" s="206" t="s">
        <v>1049</v>
      </c>
      <c r="AC141" s="206" t="s">
        <v>163</v>
      </c>
      <c r="AD141" s="206" t="s">
        <v>323</v>
      </c>
      <c r="AE141" s="246" t="s">
        <v>1769</v>
      </c>
      <c r="AF141" s="246" t="s">
        <v>1769</v>
      </c>
      <c r="AG141" s="246" t="s">
        <v>1769</v>
      </c>
      <c r="AH141" s="246" t="s">
        <v>1769</v>
      </c>
      <c r="AI141" s="246" t="s">
        <v>1769</v>
      </c>
      <c r="AJ141" s="246" t="s">
        <v>1769</v>
      </c>
    </row>
    <row r="142" spans="1:36">
      <c r="A142" s="215">
        <v>1811</v>
      </c>
      <c r="B142" s="215" t="s">
        <v>1172</v>
      </c>
      <c r="C142" s="215" t="s">
        <v>1761</v>
      </c>
      <c r="D142" s="215" t="str">
        <f t="shared" si="2"/>
        <v>三河502と1811</v>
      </c>
      <c r="E142" s="215" t="s">
        <v>1454</v>
      </c>
      <c r="F142" s="215" t="s">
        <v>1144</v>
      </c>
      <c r="G142" s="215" t="s">
        <v>1328</v>
      </c>
      <c r="H142" s="215" t="s">
        <v>1145</v>
      </c>
      <c r="I142" s="215" t="s">
        <v>1769</v>
      </c>
      <c r="J142" s="215" t="s">
        <v>1769</v>
      </c>
      <c r="K142" s="215" t="s">
        <v>1789</v>
      </c>
      <c r="L142" s="215" t="s">
        <v>1091</v>
      </c>
      <c r="M142" s="215" t="s">
        <v>1091</v>
      </c>
      <c r="N142" s="215" t="s">
        <v>1769</v>
      </c>
      <c r="O142" s="215" t="s">
        <v>1769</v>
      </c>
      <c r="P142" s="215" t="s">
        <v>402</v>
      </c>
      <c r="Q142" s="215" t="s">
        <v>1769</v>
      </c>
      <c r="R142" s="215" t="s">
        <v>1769</v>
      </c>
      <c r="S142" s="215" t="s">
        <v>1183</v>
      </c>
      <c r="T142" s="215" t="s">
        <v>1769</v>
      </c>
      <c r="U142" s="215" t="s">
        <v>1769</v>
      </c>
      <c r="V142" s="215" t="s">
        <v>1769</v>
      </c>
      <c r="W142" s="215" t="s">
        <v>1769</v>
      </c>
      <c r="X142" s="215" t="s">
        <v>1147</v>
      </c>
      <c r="Y142" s="215" t="s">
        <v>1146</v>
      </c>
      <c r="Z142" s="215" t="s">
        <v>1769</v>
      </c>
      <c r="AA142" s="215" t="s">
        <v>1769</v>
      </c>
      <c r="AB142" s="215" t="s">
        <v>1049</v>
      </c>
      <c r="AC142" s="215" t="s">
        <v>1769</v>
      </c>
      <c r="AD142" s="215" t="s">
        <v>1769</v>
      </c>
      <c r="AE142" s="215" t="s">
        <v>1769</v>
      </c>
      <c r="AF142" s="215" t="s">
        <v>1769</v>
      </c>
      <c r="AG142" s="215" t="s">
        <v>1769</v>
      </c>
      <c r="AH142" s="215" t="s">
        <v>1769</v>
      </c>
      <c r="AI142" s="215" t="s">
        <v>1769</v>
      </c>
      <c r="AJ142" s="215" t="s">
        <v>1769</v>
      </c>
    </row>
    <row r="143" spans="1:36">
      <c r="A143" s="206">
        <v>6312</v>
      </c>
      <c r="B143" s="206" t="s">
        <v>508</v>
      </c>
      <c r="C143" s="253" t="s">
        <v>1805</v>
      </c>
      <c r="D143" s="219" t="str">
        <f t="shared" si="2"/>
        <v>滋賀100あ6312</v>
      </c>
      <c r="E143" s="206" t="s">
        <v>295</v>
      </c>
      <c r="F143" s="206" t="s">
        <v>299</v>
      </c>
      <c r="G143" s="206" t="s">
        <v>298</v>
      </c>
      <c r="H143" s="219" t="s">
        <v>1529</v>
      </c>
      <c r="I143" s="206" t="s">
        <v>1769</v>
      </c>
      <c r="J143" s="206" t="s">
        <v>1769</v>
      </c>
      <c r="K143" s="206" t="s">
        <v>300</v>
      </c>
      <c r="L143" s="265" t="s">
        <v>287</v>
      </c>
      <c r="M143" s="206" t="s">
        <v>1769</v>
      </c>
      <c r="N143" s="206" t="s">
        <v>1769</v>
      </c>
      <c r="O143" s="206" t="s">
        <v>1769</v>
      </c>
      <c r="P143" s="206" t="s">
        <v>402</v>
      </c>
      <c r="Q143" s="206" t="s">
        <v>401</v>
      </c>
      <c r="R143" s="206" t="s">
        <v>1769</v>
      </c>
      <c r="S143" s="206" t="s">
        <v>1769</v>
      </c>
      <c r="T143" s="206" t="s">
        <v>1528</v>
      </c>
      <c r="U143" s="206" t="s">
        <v>1769</v>
      </c>
      <c r="V143" s="206" t="s">
        <v>1769</v>
      </c>
      <c r="W143" s="206" t="s">
        <v>1769</v>
      </c>
      <c r="X143" s="206" t="s">
        <v>1751</v>
      </c>
      <c r="Y143" s="206" t="s">
        <v>1769</v>
      </c>
      <c r="Z143" s="206" t="s">
        <v>1769</v>
      </c>
      <c r="AA143" s="206" t="s">
        <v>1769</v>
      </c>
      <c r="AB143" s="206" t="s">
        <v>1049</v>
      </c>
      <c r="AC143" s="206" t="s">
        <v>294</v>
      </c>
      <c r="AD143" s="206" t="s">
        <v>398</v>
      </c>
      <c r="AE143" s="246" t="s">
        <v>1769</v>
      </c>
      <c r="AF143" s="246" t="s">
        <v>1769</v>
      </c>
      <c r="AG143" s="246" t="s">
        <v>1769</v>
      </c>
      <c r="AH143" s="246" t="s">
        <v>1769</v>
      </c>
      <c r="AI143" s="246" t="s">
        <v>1769</v>
      </c>
      <c r="AJ143" s="246" t="s">
        <v>1769</v>
      </c>
    </row>
    <row r="144" spans="1:36">
      <c r="A144" s="206">
        <v>9086</v>
      </c>
      <c r="B144" s="206" t="s">
        <v>508</v>
      </c>
      <c r="C144" s="253" t="s">
        <v>1805</v>
      </c>
      <c r="D144" s="219" t="str">
        <f t="shared" si="2"/>
        <v>滋賀100あ9086</v>
      </c>
      <c r="E144" s="206" t="s">
        <v>196</v>
      </c>
      <c r="F144" s="206" t="s">
        <v>1530</v>
      </c>
      <c r="G144" s="206" t="s">
        <v>1808</v>
      </c>
      <c r="H144" s="219" t="s">
        <v>1531</v>
      </c>
      <c r="I144" s="206" t="s">
        <v>1769</v>
      </c>
      <c r="J144" s="206" t="s">
        <v>1769</v>
      </c>
      <c r="K144" s="206" t="s">
        <v>1532</v>
      </c>
      <c r="L144" s="265" t="s">
        <v>162</v>
      </c>
      <c r="M144" s="206" t="s">
        <v>1769</v>
      </c>
      <c r="N144" s="206" t="s">
        <v>1769</v>
      </c>
      <c r="O144" s="206" t="s">
        <v>1769</v>
      </c>
      <c r="P144" s="206" t="s">
        <v>400</v>
      </c>
      <c r="Q144" s="206" t="s">
        <v>401</v>
      </c>
      <c r="R144" s="206" t="s">
        <v>1769</v>
      </c>
      <c r="S144" s="206" t="s">
        <v>1769</v>
      </c>
      <c r="T144" s="206" t="s">
        <v>1282</v>
      </c>
      <c r="U144" s="206" t="s">
        <v>1769</v>
      </c>
      <c r="V144" s="206" t="s">
        <v>1769</v>
      </c>
      <c r="W144" s="206" t="s">
        <v>1769</v>
      </c>
      <c r="X144" s="206" t="s">
        <v>1147</v>
      </c>
      <c r="Y144" s="206" t="s">
        <v>1769</v>
      </c>
      <c r="Z144" s="206" t="s">
        <v>1769</v>
      </c>
      <c r="AA144" s="206" t="s">
        <v>1769</v>
      </c>
      <c r="AB144" s="206" t="s">
        <v>1049</v>
      </c>
      <c r="AC144" s="206" t="s">
        <v>163</v>
      </c>
      <c r="AD144" s="206" t="s">
        <v>323</v>
      </c>
      <c r="AE144" s="246" t="s">
        <v>1769</v>
      </c>
      <c r="AF144" s="246" t="s">
        <v>1769</v>
      </c>
      <c r="AG144" s="246" t="s">
        <v>1769</v>
      </c>
      <c r="AH144" s="246" t="s">
        <v>1769</v>
      </c>
      <c r="AI144" s="246" t="s">
        <v>1769</v>
      </c>
      <c r="AJ144" s="246" t="s">
        <v>1769</v>
      </c>
    </row>
    <row r="145" spans="1:36">
      <c r="A145" s="206">
        <v>5595</v>
      </c>
      <c r="B145" s="206" t="s">
        <v>509</v>
      </c>
      <c r="C145" s="253" t="s">
        <v>1805</v>
      </c>
      <c r="D145" s="219" t="str">
        <f t="shared" si="2"/>
        <v>滋賀100か5595</v>
      </c>
      <c r="E145" s="206" t="s">
        <v>195</v>
      </c>
      <c r="F145" s="206" t="s">
        <v>1534</v>
      </c>
      <c r="G145" s="206" t="s">
        <v>171</v>
      </c>
      <c r="H145" s="219" t="s">
        <v>1535</v>
      </c>
      <c r="I145" s="206" t="s">
        <v>1769</v>
      </c>
      <c r="J145" s="206" t="s">
        <v>1769</v>
      </c>
      <c r="K145" s="206" t="s">
        <v>1278</v>
      </c>
      <c r="L145" s="265" t="s">
        <v>162</v>
      </c>
      <c r="M145" s="206" t="s">
        <v>1769</v>
      </c>
      <c r="N145" s="206" t="s">
        <v>1769</v>
      </c>
      <c r="O145" s="206" t="s">
        <v>1769</v>
      </c>
      <c r="P145" s="206" t="s">
        <v>400</v>
      </c>
      <c r="Q145" s="206" t="s">
        <v>401</v>
      </c>
      <c r="R145" s="206" t="s">
        <v>1769</v>
      </c>
      <c r="S145" s="206" t="s">
        <v>1769</v>
      </c>
      <c r="T145" s="206" t="s">
        <v>1533</v>
      </c>
      <c r="U145" s="206" t="s">
        <v>1769</v>
      </c>
      <c r="V145" s="206" t="s">
        <v>1769</v>
      </c>
      <c r="W145" s="206" t="s">
        <v>1769</v>
      </c>
      <c r="X145" s="206" t="s">
        <v>1147</v>
      </c>
      <c r="Y145" s="206" t="s">
        <v>1769</v>
      </c>
      <c r="Z145" s="206" t="s">
        <v>1769</v>
      </c>
      <c r="AA145" s="206" t="s">
        <v>1769</v>
      </c>
      <c r="AB145" s="206" t="s">
        <v>1049</v>
      </c>
      <c r="AC145" s="206" t="s">
        <v>163</v>
      </c>
      <c r="AD145" s="206" t="s">
        <v>323</v>
      </c>
      <c r="AE145" s="246" t="s">
        <v>1769</v>
      </c>
      <c r="AF145" s="246">
        <v>874200</v>
      </c>
      <c r="AG145" s="246">
        <v>968200</v>
      </c>
      <c r="AH145" s="246" t="s">
        <v>1769</v>
      </c>
      <c r="AI145" s="246" t="s">
        <v>1769</v>
      </c>
      <c r="AJ145" s="246" t="s">
        <v>1769</v>
      </c>
    </row>
    <row r="146" spans="1:36">
      <c r="A146" s="206">
        <v>6094</v>
      </c>
      <c r="B146" s="206" t="s">
        <v>509</v>
      </c>
      <c r="C146" s="253" t="s">
        <v>1805</v>
      </c>
      <c r="D146" s="219" t="str">
        <f t="shared" si="2"/>
        <v>滋賀100か6094</v>
      </c>
      <c r="E146" s="206" t="s">
        <v>184</v>
      </c>
      <c r="F146" s="206" t="s">
        <v>1537</v>
      </c>
      <c r="G146" s="206" t="s">
        <v>171</v>
      </c>
      <c r="H146" s="219" t="s">
        <v>1538</v>
      </c>
      <c r="I146" s="206" t="s">
        <v>1769</v>
      </c>
      <c r="J146" s="206" t="s">
        <v>1769</v>
      </c>
      <c r="K146" s="206" t="s">
        <v>179</v>
      </c>
      <c r="L146" s="265" t="s">
        <v>162</v>
      </c>
      <c r="M146" s="206" t="s">
        <v>1769</v>
      </c>
      <c r="N146" s="206" t="s">
        <v>1769</v>
      </c>
      <c r="O146" s="206" t="s">
        <v>1769</v>
      </c>
      <c r="P146" s="206" t="s">
        <v>400</v>
      </c>
      <c r="Q146" s="206" t="s">
        <v>401</v>
      </c>
      <c r="R146" s="206" t="s">
        <v>1769</v>
      </c>
      <c r="S146" s="206" t="s">
        <v>1769</v>
      </c>
      <c r="T146" s="206" t="s">
        <v>1536</v>
      </c>
      <c r="U146" s="206" t="s">
        <v>1769</v>
      </c>
      <c r="V146" s="206" t="s">
        <v>1769</v>
      </c>
      <c r="W146" s="206" t="s">
        <v>1769</v>
      </c>
      <c r="X146" s="206" t="s">
        <v>1751</v>
      </c>
      <c r="Y146" s="206" t="s">
        <v>1769</v>
      </c>
      <c r="Z146" s="206" t="s">
        <v>1769</v>
      </c>
      <c r="AA146" s="206" t="s">
        <v>1769</v>
      </c>
      <c r="AB146" s="206" t="s">
        <v>1049</v>
      </c>
      <c r="AC146" s="206" t="s">
        <v>163</v>
      </c>
      <c r="AD146" s="206" t="s">
        <v>1317</v>
      </c>
      <c r="AE146" s="246" t="s">
        <v>1769</v>
      </c>
      <c r="AF146" s="246" t="s">
        <v>1769</v>
      </c>
      <c r="AG146" s="246" t="s">
        <v>1769</v>
      </c>
      <c r="AH146" s="246" t="s">
        <v>1769</v>
      </c>
      <c r="AI146" s="246" t="s">
        <v>1769</v>
      </c>
      <c r="AJ146" s="246" t="s">
        <v>1769</v>
      </c>
    </row>
    <row r="147" spans="1:36">
      <c r="A147" s="206">
        <v>6114</v>
      </c>
      <c r="B147" s="206" t="s">
        <v>509</v>
      </c>
      <c r="C147" s="253" t="s">
        <v>1805</v>
      </c>
      <c r="D147" s="219" t="str">
        <f t="shared" si="2"/>
        <v>滋賀100か6114</v>
      </c>
      <c r="E147" s="206" t="s">
        <v>199</v>
      </c>
      <c r="F147" s="206" t="s">
        <v>594</v>
      </c>
      <c r="G147" s="206" t="s">
        <v>1772</v>
      </c>
      <c r="H147" s="219" t="s">
        <v>1539</v>
      </c>
      <c r="I147" s="206" t="s">
        <v>1769</v>
      </c>
      <c r="J147" s="206" t="s">
        <v>1769</v>
      </c>
      <c r="K147" s="206" t="s">
        <v>170</v>
      </c>
      <c r="L147" s="265" t="s">
        <v>162</v>
      </c>
      <c r="M147" s="206" t="s">
        <v>1769</v>
      </c>
      <c r="N147" s="206" t="s">
        <v>1769</v>
      </c>
      <c r="O147" s="206" t="s">
        <v>1769</v>
      </c>
      <c r="P147" s="206" t="s">
        <v>400</v>
      </c>
      <c r="Q147" s="206" t="s">
        <v>401</v>
      </c>
      <c r="R147" s="206" t="s">
        <v>405</v>
      </c>
      <c r="S147" s="206" t="s">
        <v>1769</v>
      </c>
      <c r="T147" s="206" t="s">
        <v>1312</v>
      </c>
      <c r="U147" s="206" t="s">
        <v>1769</v>
      </c>
      <c r="V147" s="206" t="s">
        <v>1769</v>
      </c>
      <c r="W147" s="206" t="s">
        <v>1769</v>
      </c>
      <c r="X147" s="206" t="s">
        <v>1147</v>
      </c>
      <c r="Y147" s="206" t="s">
        <v>1769</v>
      </c>
      <c r="Z147" s="206" t="s">
        <v>1769</v>
      </c>
      <c r="AA147" s="206" t="s">
        <v>1769</v>
      </c>
      <c r="AB147" s="206" t="s">
        <v>1049</v>
      </c>
      <c r="AC147" s="206" t="s">
        <v>163</v>
      </c>
      <c r="AD147" s="206" t="s">
        <v>323</v>
      </c>
      <c r="AE147" s="246" t="s">
        <v>1769</v>
      </c>
      <c r="AF147" s="246" t="s">
        <v>1769</v>
      </c>
      <c r="AG147" s="246" t="s">
        <v>1769</v>
      </c>
      <c r="AH147" s="246" t="s">
        <v>1769</v>
      </c>
      <c r="AI147" s="246" t="s">
        <v>1769</v>
      </c>
      <c r="AJ147" s="246" t="s">
        <v>1769</v>
      </c>
    </row>
    <row r="148" spans="1:36">
      <c r="A148" s="206">
        <v>6148</v>
      </c>
      <c r="B148" s="206" t="s">
        <v>509</v>
      </c>
      <c r="C148" s="253" t="s">
        <v>1805</v>
      </c>
      <c r="D148" s="219" t="str">
        <f t="shared" si="2"/>
        <v>滋賀100か6148</v>
      </c>
      <c r="E148" s="206" t="s">
        <v>203</v>
      </c>
      <c r="F148" s="206" t="s">
        <v>594</v>
      </c>
      <c r="G148" s="206" t="s">
        <v>1772</v>
      </c>
      <c r="H148" s="219" t="s">
        <v>1540</v>
      </c>
      <c r="I148" s="206" t="s">
        <v>1769</v>
      </c>
      <c r="J148" s="206" t="s">
        <v>1769</v>
      </c>
      <c r="K148" s="206" t="s">
        <v>170</v>
      </c>
      <c r="L148" s="265" t="s">
        <v>162</v>
      </c>
      <c r="M148" s="206" t="s">
        <v>1769</v>
      </c>
      <c r="N148" s="206" t="s">
        <v>1769</v>
      </c>
      <c r="O148" s="206" t="s">
        <v>1769</v>
      </c>
      <c r="P148" s="206" t="s">
        <v>400</v>
      </c>
      <c r="Q148" s="206" t="s">
        <v>401</v>
      </c>
      <c r="R148" s="206" t="s">
        <v>405</v>
      </c>
      <c r="S148" s="206" t="s">
        <v>1769</v>
      </c>
      <c r="T148" s="206" t="s">
        <v>1312</v>
      </c>
      <c r="U148" s="206" t="s">
        <v>1769</v>
      </c>
      <c r="V148" s="206" t="s">
        <v>1769</v>
      </c>
      <c r="W148" s="206" t="s">
        <v>1769</v>
      </c>
      <c r="X148" s="206" t="s">
        <v>1147</v>
      </c>
      <c r="Y148" s="206" t="s">
        <v>1769</v>
      </c>
      <c r="Z148" s="206" t="s">
        <v>1769</v>
      </c>
      <c r="AA148" s="206" t="s">
        <v>1769</v>
      </c>
      <c r="AB148" s="206" t="s">
        <v>1049</v>
      </c>
      <c r="AC148" s="206" t="s">
        <v>163</v>
      </c>
      <c r="AD148" s="206" t="s">
        <v>323</v>
      </c>
      <c r="AE148" s="246" t="s">
        <v>1769</v>
      </c>
      <c r="AF148" s="246" t="s">
        <v>1769</v>
      </c>
      <c r="AG148" s="246" t="s">
        <v>1769</v>
      </c>
      <c r="AH148" s="246" t="s">
        <v>1769</v>
      </c>
      <c r="AI148" s="246" t="s">
        <v>1769</v>
      </c>
      <c r="AJ148" s="246" t="s">
        <v>1769</v>
      </c>
    </row>
    <row r="149" spans="1:36">
      <c r="A149" s="206">
        <v>2767</v>
      </c>
      <c r="B149" s="206" t="s">
        <v>503</v>
      </c>
      <c r="C149" s="253" t="s">
        <v>1805</v>
      </c>
      <c r="D149" s="219" t="str">
        <f t="shared" si="2"/>
        <v>習志野100い2767</v>
      </c>
      <c r="E149" s="206" t="s">
        <v>270</v>
      </c>
      <c r="F149" s="206" t="s">
        <v>375</v>
      </c>
      <c r="G149" s="206" t="s">
        <v>324</v>
      </c>
      <c r="H149" s="219" t="s">
        <v>271</v>
      </c>
      <c r="I149" s="206" t="s">
        <v>1769</v>
      </c>
      <c r="J149" s="206" t="s">
        <v>1769</v>
      </c>
      <c r="K149" s="206" t="s">
        <v>1541</v>
      </c>
      <c r="L149" s="265" t="s">
        <v>162</v>
      </c>
      <c r="M149" s="206" t="s">
        <v>1769</v>
      </c>
      <c r="N149" s="206" t="s">
        <v>1769</v>
      </c>
      <c r="O149" s="206" t="s">
        <v>1769</v>
      </c>
      <c r="P149" s="206" t="s">
        <v>402</v>
      </c>
      <c r="Q149" s="206" t="s">
        <v>401</v>
      </c>
      <c r="R149" s="206" t="s">
        <v>1769</v>
      </c>
      <c r="S149" s="206" t="s">
        <v>1769</v>
      </c>
      <c r="T149" s="206" t="s">
        <v>269</v>
      </c>
      <c r="U149" s="206" t="s">
        <v>1769</v>
      </c>
      <c r="V149" s="206" t="s">
        <v>1769</v>
      </c>
      <c r="W149" s="206" t="s">
        <v>1769</v>
      </c>
      <c r="X149" s="206" t="s">
        <v>1147</v>
      </c>
      <c r="Y149" s="206" t="s">
        <v>1769</v>
      </c>
      <c r="Z149" s="206" t="s">
        <v>1769</v>
      </c>
      <c r="AA149" s="206" t="s">
        <v>1769</v>
      </c>
      <c r="AB149" s="206" t="s">
        <v>1049</v>
      </c>
      <c r="AC149" s="206" t="s">
        <v>163</v>
      </c>
      <c r="AD149" s="206" t="s">
        <v>323</v>
      </c>
      <c r="AE149" s="246" t="s">
        <v>1769</v>
      </c>
      <c r="AF149" s="246" t="s">
        <v>1769</v>
      </c>
      <c r="AG149" s="246" t="s">
        <v>1769</v>
      </c>
      <c r="AH149" s="246" t="s">
        <v>1769</v>
      </c>
      <c r="AI149" s="246" t="s">
        <v>1769</v>
      </c>
      <c r="AJ149" s="246" t="s">
        <v>1769</v>
      </c>
    </row>
    <row r="150" spans="1:36">
      <c r="A150" s="206">
        <v>2830</v>
      </c>
      <c r="B150" s="206" t="s">
        <v>503</v>
      </c>
      <c r="C150" s="253" t="s">
        <v>1805</v>
      </c>
      <c r="D150" s="219" t="str">
        <f t="shared" si="2"/>
        <v>習志野100い2830</v>
      </c>
      <c r="E150" s="206" t="s">
        <v>289</v>
      </c>
      <c r="F150" s="206" t="s">
        <v>1542</v>
      </c>
      <c r="G150" s="206" t="s">
        <v>1772</v>
      </c>
      <c r="H150" s="219" t="s">
        <v>1543</v>
      </c>
      <c r="I150" s="206" t="s">
        <v>1769</v>
      </c>
      <c r="J150" s="206" t="s">
        <v>1769</v>
      </c>
      <c r="K150" s="206" t="s">
        <v>381</v>
      </c>
      <c r="L150" s="265" t="s">
        <v>162</v>
      </c>
      <c r="M150" s="206" t="s">
        <v>1769</v>
      </c>
      <c r="N150" s="206" t="s">
        <v>1769</v>
      </c>
      <c r="O150" s="206" t="s">
        <v>1769</v>
      </c>
      <c r="P150" s="206" t="s">
        <v>400</v>
      </c>
      <c r="Q150" s="206" t="s">
        <v>401</v>
      </c>
      <c r="R150" s="206" t="s">
        <v>1769</v>
      </c>
      <c r="S150" s="206" t="s">
        <v>1769</v>
      </c>
      <c r="T150" s="206" t="s">
        <v>384</v>
      </c>
      <c r="U150" s="206" t="s">
        <v>1769</v>
      </c>
      <c r="V150" s="206" t="s">
        <v>1769</v>
      </c>
      <c r="W150" s="206" t="s">
        <v>1769</v>
      </c>
      <c r="X150" s="206" t="s">
        <v>1147</v>
      </c>
      <c r="Y150" s="206" t="s">
        <v>1769</v>
      </c>
      <c r="Z150" s="206" t="s">
        <v>1769</v>
      </c>
      <c r="AA150" s="206" t="s">
        <v>1769</v>
      </c>
      <c r="AB150" s="206" t="s">
        <v>1049</v>
      </c>
      <c r="AC150" s="206" t="s">
        <v>163</v>
      </c>
      <c r="AD150" s="206" t="s">
        <v>323</v>
      </c>
      <c r="AE150" s="246" t="s">
        <v>1769</v>
      </c>
      <c r="AF150" s="246" t="s">
        <v>1769</v>
      </c>
      <c r="AG150" s="246" t="s">
        <v>1769</v>
      </c>
      <c r="AH150" s="246" t="s">
        <v>1769</v>
      </c>
      <c r="AI150" s="246" t="s">
        <v>1769</v>
      </c>
      <c r="AJ150" s="246" t="s">
        <v>1769</v>
      </c>
    </row>
    <row r="151" spans="1:36">
      <c r="A151" s="206">
        <v>4659</v>
      </c>
      <c r="B151" s="206" t="s">
        <v>513</v>
      </c>
      <c r="C151" s="253" t="s">
        <v>1805</v>
      </c>
      <c r="D151" s="219" t="str">
        <f t="shared" si="2"/>
        <v>習志野400た4659</v>
      </c>
      <c r="E151" s="206" t="s">
        <v>185</v>
      </c>
      <c r="F151" s="206" t="s">
        <v>1466</v>
      </c>
      <c r="G151" s="206" t="s">
        <v>1331</v>
      </c>
      <c r="H151" s="219" t="s">
        <v>1544</v>
      </c>
      <c r="I151" s="206" t="s">
        <v>1769</v>
      </c>
      <c r="J151" s="206" t="s">
        <v>1769</v>
      </c>
      <c r="K151" s="206" t="s">
        <v>1215</v>
      </c>
      <c r="L151" s="265" t="s">
        <v>1809</v>
      </c>
      <c r="M151" s="206" t="s">
        <v>1769</v>
      </c>
      <c r="N151" s="206" t="s">
        <v>1769</v>
      </c>
      <c r="O151" s="206" t="s">
        <v>1769</v>
      </c>
      <c r="P151" s="206" t="s">
        <v>402</v>
      </c>
      <c r="Q151" s="206" t="s">
        <v>401</v>
      </c>
      <c r="R151" s="206" t="s">
        <v>1769</v>
      </c>
      <c r="S151" s="206" t="s">
        <v>1769</v>
      </c>
      <c r="T151" s="206" t="s">
        <v>376</v>
      </c>
      <c r="U151" s="206" t="s">
        <v>1769</v>
      </c>
      <c r="V151" s="206" t="s">
        <v>1769</v>
      </c>
      <c r="W151" s="206" t="s">
        <v>1769</v>
      </c>
      <c r="X151" s="206" t="s">
        <v>1751</v>
      </c>
      <c r="Y151" s="206" t="s">
        <v>1769</v>
      </c>
      <c r="Z151" s="206" t="s">
        <v>1769</v>
      </c>
      <c r="AA151" s="206" t="s">
        <v>1769</v>
      </c>
      <c r="AB151" s="206" t="s">
        <v>1049</v>
      </c>
      <c r="AC151" s="206" t="s">
        <v>377</v>
      </c>
      <c r="AD151" s="206" t="s">
        <v>1769</v>
      </c>
      <c r="AE151" s="246" t="s">
        <v>1769</v>
      </c>
      <c r="AF151" s="246" t="s">
        <v>1769</v>
      </c>
      <c r="AG151" s="246" t="s">
        <v>1769</v>
      </c>
      <c r="AH151" s="246" t="s">
        <v>1769</v>
      </c>
      <c r="AI151" s="246" t="s">
        <v>1769</v>
      </c>
      <c r="AJ151" s="246" t="s">
        <v>1769</v>
      </c>
    </row>
    <row r="152" spans="1:36">
      <c r="C152" s="262"/>
    </row>
    <row r="153" spans="1:36">
      <c r="A153" s="279" t="s">
        <v>1810</v>
      </c>
      <c r="B153" s="280"/>
      <c r="C153" s="281"/>
    </row>
    <row r="154" spans="1:36">
      <c r="A154" s="282" t="s">
        <v>1811</v>
      </c>
      <c r="B154" s="283"/>
      <c r="C154" s="284"/>
    </row>
    <row r="155" spans="1:36">
      <c r="A155" s="285" t="s">
        <v>1812</v>
      </c>
      <c r="B155" s="286"/>
      <c r="C155" s="287"/>
    </row>
    <row r="156" spans="1:36">
      <c r="A156" s="288" t="s">
        <v>1813</v>
      </c>
      <c r="B156" s="288"/>
      <c r="C156" s="288"/>
    </row>
  </sheetData>
  <mergeCells count="4">
    <mergeCell ref="A153:C153"/>
    <mergeCell ref="A154:C154"/>
    <mergeCell ref="A155:C155"/>
    <mergeCell ref="A156:C156"/>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3</vt:i4>
      </vt:variant>
    </vt:vector>
  </HeadingPairs>
  <TitlesOfParts>
    <vt:vector size="11" baseType="lpstr">
      <vt:lpstr>車両一覧</vt:lpstr>
      <vt:lpstr>トラクタ、トラック</vt:lpstr>
      <vt:lpstr>台帳リスト</vt:lpstr>
      <vt:lpstr>被けん引車２</vt:lpstr>
      <vt:lpstr>点検日</vt:lpstr>
      <vt:lpstr>Sheet2</vt:lpstr>
      <vt:lpstr>Sheet1</vt:lpstr>
      <vt:lpstr>before20150113</vt:lpstr>
      <vt:lpstr>'トラクタ、トラック'!Print_Area</vt:lpstr>
      <vt:lpstr>車両一覧!Print_Area</vt:lpstr>
      <vt:lpstr>被けん引車２!Print_Area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2015-01-13T06:34:49Z</cp:lastPrinted>
  <dcterms:created xsi:type="dcterms:W3CDTF">2012-01-17T01:48:40Z</dcterms:created>
  <dcterms:modified xsi:type="dcterms:W3CDTF">2015-01-13T08:50:33Z</dcterms:modified>
</cp:coreProperties>
</file>