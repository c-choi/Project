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1"/>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s>
  <definedNames>
    <definedName name="_xlnm._FilterDatabase" localSheetId="0" hidden="1">車両一覧!$A$1:$AJ$152</definedName>
    <definedName name="_xlnm._FilterDatabase" localSheetId="7" hidden="1">'車両一覧 (20150114)'!$A$1:$AJ$152</definedName>
    <definedName name="_xlnm.Print_Area" localSheetId="1">'トラクタ、トラック'!$A$1:$V$71</definedName>
    <definedName name="_xlnm.Print_Area" localSheetId="0">車両一覧!$A$1:$AR$159</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<sst xmlns="http://schemas.openxmlformats.org/spreadsheetml/2006/main" count="16989" uniqueCount="1928">
  <si>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</si>
  <si>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</si>
  <si>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</si>
  <si>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</si>
  <si>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</si>
  <si>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</si>
  <si>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</si>
  <si>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</si>
  <si>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</si>
  <si>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</si>
  <si>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</si>
  <si>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</si>
  <si>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</si>
  <si>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</si>
  <si>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</si>
  <si>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</si>
  <si>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</si>
  <si>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</si>
  <si>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</si>
  <si>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</si>
  <si>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</si>
  <si>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</si>
  <si>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</si>
  <si>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</si>
  <si>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</si>
  <si>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</si>
  <si>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</si>
  <si>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</si>
  <si>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</si>
  <si>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</si>
  <si>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</si>
  <si>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</si>
  <si>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</si>
  <si>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</si>
  <si>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</si>
  <si>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</si>
  <si>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</si>
  <si>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</si>
  <si>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</si>
  <si>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</si>
  <si>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</si>
  <si>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</si>
  <si>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</si>
  <si>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</si>
  <si>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</si>
  <si>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</si>
  <si>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</si>
  <si>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</si>
  <si>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</si>
  <si>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</si>
  <si>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</si>
  <si>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</si>
  <si>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</si>
  <si>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</si>
  <si>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</si>
  <si>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</si>
  <si>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</si>
  <si>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</si>
  <si>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</si>
  <si>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</si>
  <si>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</si>
  <si>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</si>
  <si>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</si>
  <si>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</si>
  <si>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</si>
  <si>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</si>
  <si>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</si>
  <si>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</si>
  <si>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</si>
  <si>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</si>
  <si>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</si>
  <si>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</si>
  <si>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</si>
  <si>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</si>
  <si>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</si>
  <si>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</si>
  <si>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</si>
  <si>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</si>
  <si>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</si>
  <si>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</si>
  <si>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</si>
  <si>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</si>
  <si>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</si>
  <si>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</si>
  <si>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</si>
  <si>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</si>
  <si>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</si>
  <si>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</si>
  <si>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</si>
  <si>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</si>
  <si>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</si>
  <si>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</si>
  <si>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</si>
  <si>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</si>
  <si>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</si>
  <si>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</si>
  <si>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</si>
  <si>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</si>
  <si>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</si>
  <si>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</si>
  <si>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</si>
  <si>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</si>
  <si>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</si>
  <si>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</si>
  <si>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</si>
  <si>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</si>
  <si>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</si>
  <si>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</si>
  <si>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</si>
  <si>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</si>
  <si>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</si>
  <si>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</si>
  <si>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</si>
  <si>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</si>
  <si>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</si>
  <si>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</si>
  <si>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</si>
  <si>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</si>
  <si>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</si>
  <si>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</si>
  <si>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</si>
  <si>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</si>
  <si>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</si>
  <si>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</si>
  <si>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</si>
  <si>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</si>
  <si>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</si>
  <si>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</si>
  <si>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</si>
  <si>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</si>
  <si>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</si>
  <si>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</si>
  <si>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</si>
  <si>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</si>
  <si>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</si>
  <si>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</si>
  <si>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</si>
  <si>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</si>
  <si>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</si>
  <si>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</si>
  <si>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</si>
  <si>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</si>
  <si>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</si>
  <si>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</si>
  <si>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</si>
  <si>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</si>
  <si>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</si>
  <si>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</si>
  <si>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</si>
  <si>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</si>
  <si>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</si>
  <si>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</si>
  <si>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</si>
  <si>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</si>
  <si>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</si>
  <si>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</si>
  <si>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</si>
  <si>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</si>
  <si>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</si>
  <si>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</si>
  <si>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</si>
  <si>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</si>
  <si>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</si>
  <si>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</si>
  <si>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</si>
  <si>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</si>
  <si>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</si>
  <si>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</si>
  <si>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</si>
  <si>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</si>
  <si>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</si>
  <si>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</si>
  <si>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</si>
  <si>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</si>
  <si>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</si>
  <si>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</si>
  <si>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</si>
  <si>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</si>
  <si>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</si>
  <si>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</si>
  <si>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</si>
  <si>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</si>
  <si>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</si>
  <si>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</si>
  <si>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</si>
  <si>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</si>
  <si>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</si>
  <si>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</si>
  <si>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</si>
  <si>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</si>
  <si>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</si>
  <si>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</si>
  <si>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</si>
  <si>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</si>
  <si>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</si>
  <si>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</si>
  <si>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</si>
  <si>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</si>
  <si>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</si>
  <si>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</si>
  <si>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</si>
  <si>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</si>
  <si>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</si>
  <si>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</si>
  <si>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</si>
  <si>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</si>
  <si>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</si>
  <si>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</si>
  <si>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</si>
  <si>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</si>
  <si>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</si>
  <si>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</si>
  <si>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</si>
  <si>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</si>
  <si>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</si>
  <si>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</si>
  <si>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</si>
  <si>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</si>
  <si>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</si>
  <si>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</si>
  <si>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</si>
  <si>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</si>
  <si>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</si>
  <si>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</si>
  <si>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</si>
  <si>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</si>
  <si>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</si>
  <si>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</si>
  <si>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</si>
  <si>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</si>
  <si>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</si>
  <si>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</si>
  <si>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</si>
  <si>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</si>
  <si>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</si>
  <si>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</si>
  <si>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</si>
  <si>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</si>
  <si>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</si>
  <si>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</si>
  <si>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</si>
  <si>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</si>
  <si>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</si>
  <si>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</si>
  <si>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</si>
  <si>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</si>
  <si>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</si>
  <si>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</si>
  <si>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</si>
  <si>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</si>
  <si>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</si>
  <si>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</si>
  <si>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</si>
  <si>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</si>
  <si>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</si>
  <si>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</si>
  <si>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</si>
  <si>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</si>
  <si>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</si>
  <si>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</si>
  <si>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</si>
  <si>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</si>
  <si>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</si>
  <si>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</si>
  <si>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</si>
  <si>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</si>
  <si>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</si>
  <si>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</si>
  <si>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</si>
  <si>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</si>
  <si>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</si>
  <si>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</si>
  <si>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</si>
  <si>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</si>
  <si>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</si>
  <si>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</si>
  <si>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</si>
  <si>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</si>
  <si>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</si>
  <si>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</si>
  <si>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</si>
  <si>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</si>
  <si>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</si>
  <si>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</si>
  <si>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</si>
  <si>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</si>
  <si>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</si>
  <si>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</si>
  <si>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</si>
  <si>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</si>
  <si>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</si>
  <si>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</si>
  <si>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</si>
  <si>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</si>
  <si>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</si>
  <si>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</si>
  <si>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</si>
  <si>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</si>
  <si>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</si>
  <si>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</si>
  <si>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</si>
  <si>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</si>
  <si>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</si>
  <si>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</si>
  <si>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</si>
  <si>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</si>
  <si>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</si>
  <si>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</si>
  <si>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</si>
  <si>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</si>
  <si>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</si>
  <si>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</si>
  <si>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</si>
  <si>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</si>
  <si>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</si>
  <si>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</si>
  <si>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</si>
  <si>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</si>
  <si>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</si>
  <si>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</si>
  <si>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</si>
  <si>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</si>
  <si>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</si>
  <si>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</si>
  <si>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</si>
  <si>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</si>
  <si>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</si>
  <si>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</si>
  <si>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</si>
  <si>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</si>
  <si>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</si>
  <si>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</si>
  <si>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</si>
  <si>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</si>
  <si>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</si>
  <si>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</si>
  <si>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</si>
  <si>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</si>
  <si>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</si>
  <si>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</si>
  <si>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</si>
  <si>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</si>
  <si>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</si>
  <si>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</si>
  <si>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</si>
  <si>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</si>
  <si>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</si>
  <si>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</si>
  <si>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</si>
  <si>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</si>
  <si>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</si>
  <si>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</si>
  <si>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</si>
  <si>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</si>
  <si>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</si>
  <si>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</si>
  <si>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</si>
  <si>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</si>
  <si>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</si>
  <si>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</si>
  <si>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</si>
  <si>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</si>
  <si>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</si>
  <si>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</si>
  <si>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</si>
  <si>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</si>
  <si>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</si>
  <si>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</si>
  <si>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</si>
  <si>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</si>
  <si>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</si>
  <si>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</si>
  <si>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</si>
  <si>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</si>
  <si>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</si>
  <si>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</si>
  <si>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</si>
  <si>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</si>
  <si>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</si>
  <si>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</si>
  <si>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</si>
  <si>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</si>
  <si>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</si>
  <si>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</si>
  <si>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</si>
  <si>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</si>
  <si>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</si>
  <si>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</si>
  <si>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</si>
  <si>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</si>
  <si>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</si>
  <si>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</si>
  <si>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</si>
  <si>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</si>
  <si>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</si>
  <si>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</si>
  <si>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</si>
  <si>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</si>
  <si>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</si>
  <si>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</si>
  <si>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</si>
  <si>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</si>
  <si>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</si>
  <si>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</si>
  <si>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</si>
  <si>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</si>
  <si>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</si>
  <si>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</si>
  <si>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</si>
  <si>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</si>
  <si>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</si>
  <si>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</si>
  <si>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</si>
  <si>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</si>
  <si>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</si>
  <si>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</si>
  <si>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</si>
  <si>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</si>
  <si>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</si>
  <si>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</si>
  <si>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</si>
  <si>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</si>
  <si>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</si>
  <si>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</si>
  <si>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</si>
  <si>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</si>
  <si>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</si>
  <si>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</si>
  <si>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</si>
  <si>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</si>
  <si>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</si>
  <si>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</si>
  <si>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</si>
  <si>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</si>
  <si>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</si>
  <si>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</si>
  <si>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</si>
  <si>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</si>
  <si>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</si>
  <si>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</si>
  <si>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</si>
  <si>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</si>
  <si>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</si>
  <si>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</si>
  <si>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</si>
  <si>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</si>
  <si>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</si>
  <si>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</si>
  <si>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</si>
  <si>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</si>
  <si>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</si>
  <si>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</si>
  <si>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</si>
  <si>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</si>
  <si>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</si>
  <si>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</si>
  <si>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</si>
  <si>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</si>
  <si>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</si>
  <si>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</si>
  <si>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</si>
  <si>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</si>
  <si>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</si>
  <si>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</si>
  <si>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</si>
  <si>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</si>
  <si>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</si>
  <si>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</si>
  <si>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</si>
  <si>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</si>
  <si>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</si>
  <si>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</si>
  <si>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</si>
  <si>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</si>
  <si>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</si>
  <si>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</si>
  <si>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</si>
  <si>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</si>
  <si>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</si>
  <si>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</si>
  <si>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</si>
  <si>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</si>
  <si>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</si>
  <si>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</si>
  <si>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</si>
  <si>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</si>
  <si>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</si>
  <si>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</si>
  <si>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</si>
  <si>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</si>
  <si>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</si>
  <si>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</si>
  <si>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</si>
  <si>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</si>
  <si>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</si>
  <si>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</si>
  <si>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</si>
  <si>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</si>
  <si>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</si>
  <si>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</si>
  <si>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</si>
  <si>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</si>
  <si>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</si>
  <si>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</si>
  <si>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</si>
  <si>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</si>
  <si>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</si>
  <si>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</si>
  <si>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</si>
  <si>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</si>
  <si>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</si>
  <si>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</si>
  <si>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</si>
  <si>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</si>
  <si>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</si>
  <si>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</si>
  <si>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</si>
  <si>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</si>
  <si>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</si>
  <si>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</si>
  <si>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</si>
  <si>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</si>
  <si>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</si>
  <si>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</si>
  <si>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</si>
  <si>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</si>
  <si>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</si>
  <si>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</si>
  <si>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</si>
  <si>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</si>
  <si>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</si>
  <si>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</si>
  <si>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</si>
  <si>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</si>
  <si>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</si>
  <si>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</si>
  <si>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</si>
  <si>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</si>
  <si>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</si>
  <si>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</si>
  <si>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</si>
  <si>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</si>
  <si>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</si>
  <si>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</si>
  <si>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</si>
  <si>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</si>
  <si>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</si>
  <si>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</si>
  <si>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</si>
  <si>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</si>
  <si>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</si>
  <si>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</si>
  <si>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</si>
  <si>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</si>
  <si>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</si>
  <si>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</si>
  <si>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</si>
  <si>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</si>
  <si>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</si>
  <si>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</si>
  <si>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</si>
  <si>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</si>
  <si>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</si>
  <si>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</si>
  <si>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</si>
  <si>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</si>
  <si>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</si>
  <si>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</si>
  <si>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</si>
  <si>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</si>
  <si>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</si>
  <si>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</si>
  <si>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</si>
  <si>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</si>
  <si>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</si>
  <si>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</si>
  <si>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</si>
  <si>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</si>
  <si>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</si>
  <si>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</si>
  <si>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</si>
  <si>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</si>
  <si>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</si>
  <si>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</si>
  <si>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</si>
  <si>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</si>
  <si>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</si>
  <si>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</si>
  <si>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</si>
  <si>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</si>
  <si>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</si>
  <si>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</si>
  <si>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</si>
  <si>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</si>
  <si>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</si>
  <si>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</si>
  <si>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</si>
  <si>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</si>
  <si>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</si>
  <si>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</si>
  <si>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</si>
  <si>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</si>
  <si>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</si>
  <si>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</si>
  <si>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</si>
  <si>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</si>
  <si>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</si>
  <si>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</si>
  <si>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</si>
  <si>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</si>
  <si>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</si>
  <si>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</si>
  <si>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</si>
  <si>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</si>
  <si>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</si>
  <si>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</si>
  <si>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</si>
  <si>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</si>
  <si>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</si>
  <si>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</si>
  <si>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</si>
  <si>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</si>
  <si>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</si>
  <si>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</si>
  <si>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</si>
  <si>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</si>
  <si>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</si>
  <si>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</si>
  <si>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</si>
  <si>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</si>
  <si>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</si>
  <si>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</si>
  <si>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</si>
  <si>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</si>
  <si>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</si>
  <si>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</si>
  <si>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</si>
  <si>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</si>
  <si>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</si>
  <si>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</si>
  <si>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</si>
  <si>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</si>
  <si>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</si>
  <si>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</si>
  <si>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</si>
  <si>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</si>
  <si>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</si>
  <si>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</si>
  <si>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</si>
  <si>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</si>
  <si>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</si>
  <si>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</si>
  <si>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</si>
  <si>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</si>
  <si>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</si>
  <si>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</si>
  <si>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</si>
  <si>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</si>
  <si>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</si>
  <si>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</si>
  <si>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</si>
  <si>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</si>
  <si>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</si>
  <si>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</si>
  <si>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</si>
  <si>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</si>
  <si>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</si>
  <si>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</si>
  <si>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</si>
  <si>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</si>
  <si>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</si>
  <si>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</si>
  <si>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</si>
  <si>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</si>
  <si>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</si>
  <si>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</si>
  <si>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</si>
  <si>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</si>
  <si>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</si>
  <si>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</si>
  <si>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</si>
  <si>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</si>
  <si>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</si>
  <si>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</si>
  <si>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</si>
  <si>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</si>
  <si>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</si>
  <si>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</si>
  <si>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</si>
  <si>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</si>
  <si>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</si>
  <si>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</si>
  <si>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</si>
  <si>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</si>
  <si>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</si>
  <si>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</si>
  <si>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</si>
  <si>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</si>
  <si>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</si>
  <si>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</si>
  <si>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</si>
  <si>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</si>
  <si>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</si>
  <si>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</si>
  <si>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</si>
  <si>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</si>
  <si>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</si>
  <si>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</si>
  <si>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</si>
  <si>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</si>
  <si>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</si>
  <si>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</si>
  <si>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</si>
  <si>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</si>
  <si>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</si>
  <si>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</si>
  <si>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</si>
  <si>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</si>
  <si>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</si>
  <si>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</si>
  <si>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</si>
  <si>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</si>
  <si>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</si>
  <si>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</si>
  <si>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</si>
  <si>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</si>
  <si>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</si>
  <si>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</si>
  <si>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</si>
  <si>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</si>
  <si>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</si>
  <si>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</si>
  <si>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</si>
  <si>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</si>
  <si>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</si>
  <si>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</si>
  <si>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</si>
  <si>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</si>
  <si>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</si>
  <si>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</si>
  <si>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</si>
  <si>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</si>
  <si>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</si>
  <si>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</si>
  <si>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</si>
  <si>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</si>
  <si>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</si>
  <si>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</si>
  <si>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</si>
  <si>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</si>
  <si>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</si>
  <si>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</si>
  <si>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</si>
  <si>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</si>
  <si>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</si>
  <si>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</si>
  <si>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</si>
  <si>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</si>
  <si>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</si>
  <si>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</si>
  <si>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</si>
  <si>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</si>
  <si>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</si>
  <si>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</si>
  <si>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</si>
  <si>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</si>
  <si>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</si>
  <si>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</si>
  <si>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</si>
  <si>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</si>
  <si>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</si>
  <si>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</si>
  <si>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</si>
  <si>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</si>
  <si>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</si>
  <si>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</si>
  <si>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</si>
  <si>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</si>
  <si>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</si>
  <si>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</si>
  <si>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</si>
  <si>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</si>
  <si>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</si>
  <si>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</si>
  <si>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</si>
  <si>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</si>
  <si>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</si>
  <si>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</si>
  <si>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</si>
  <si>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</si>
  <si>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</si>
  <si>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</si>
  <si>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</si>
  <si>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</si>
  <si>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</si>
  <si>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</si>
  <si>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</si>
  <si>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</si>
  <si>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</si>
  <si>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</si>
  <si>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</si>
  <si>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</si>
  <si>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</si>
  <si>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</si>
  <si>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</si>
  <si>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</si>
  <si>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</si>
  <si>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</si>
  <si>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</si>
  <si>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</si>
  <si>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</si>
  <si>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</si>
  <si>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</si>
  <si>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</si>
  <si>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</si>
  <si>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</si>
  <si>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</si>
  <si>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</si>
  <si>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</si>
  <si>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</si>
  <si>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</si>
  <si>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</si>
  <si>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</si>
  <si>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</si>
  <si>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</si>
  <si>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</si>
  <si>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</si>
  <si>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</si>
  <si>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</si>
  <si>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</si>
  <si>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</si>
  <si>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</si>
  <si>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</si>
  <si>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</si>
  <si>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</si>
  <si>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</si>
  <si>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</si>
  <si>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</si>
  <si>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</si>
  <si>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</si>
  <si>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</si>
  <si>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</si>
  <si>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</si>
  <si>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</si>
  <si>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</si>
  <si>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</si>
  <si>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</si>
  <si>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</si>
  <si>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</si>
  <si>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</si>
  <si>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</si>
  <si>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</si>
  <si>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</si>
  <si>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</si>
  <si>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</si>
  <si>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</si>
  <si>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</si>
  <si>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</si>
  <si>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</si>
  <si>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</si>
  <si>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</si>
  <si>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</si>
  <si>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</si>
  <si>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</si>
  <si>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</si>
  <si>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</si>
  <si>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</si>
  <si>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</si>
  <si>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</si>
  <si>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</si>
  <si>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</si>
  <si>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</si>
  <si>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</si>
  <si>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</si>
  <si>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</si>
  <si>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</si>
  <si>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</si>
  <si>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</si>
  <si>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</si>
  <si>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</si>
  <si>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</si>
  <si>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</si>
  <si>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</si>
  <si>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</si>
  <si>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</si>
  <si>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</si>
  <si>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</si>
  <si>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</si>
  <si>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</si>
  <si>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</si>
  <si>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</si>
  <si>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</si>
  <si>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</si>
  <si>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</si>
  <si>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</si>
  <si>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</si>
  <si>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</si>
  <si>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</si>
  <si>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</si>
  <si>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</si>
  <si>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</si>
  <si>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</si>
  <si>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</si>
  <si>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</si>
  <si>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</si>
  <si>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</si>
  <si>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</si>
  <si>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</si>
  <si>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</si>
  <si>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</si>
  <si>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</si>
  <si>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</si>
  <si>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</si>
  <si>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</si>
  <si>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</si>
  <si>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</si>
  <si>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</si>
  <si>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</si>
  <si>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</si>
  <si>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</si>
  <si>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</si>
  <si>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</si>
  <si>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</si>
  <si>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</si>
  <si>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</si>
  <si>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</si>
  <si>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</si>
  <si>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</si>
  <si>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</si>
  <si>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</si>
  <si>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</si>
  <si>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</si>
  <si>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</si>
  <si>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</si>
  <si>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</si>
  <si>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</si>
  <si>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</si>
  <si>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</si>
  <si>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</si>
  <si>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</si>
  <si>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</si>
  <si>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</si>
  <si>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</si>
  <si>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</si>
  <si>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</si>
  <si>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</si>
  <si>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</si>
  <si>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</si>
  <si>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</si>
  <si>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</si>
  <si>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</si>
  <si>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</si>
  <si>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</si>
  <si>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</si>
  <si>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</si>
  <si>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</si>
  <si>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</si>
  <si>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</si>
  <si>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</si>
  <si>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</si>
  <si>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</si>
  <si>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</si>
  <si>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</si>
  <si>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</si>
  <si>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</si>
  <si>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</si>
  <si>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</si>
  <si>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</si>
  <si>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</si>
  <si>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</si>
  <si>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</si>
  <si>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</si>
  <si>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</si>
  <si>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</si>
  <si>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</si>
  <si>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</si>
  <si>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</si>
  <si>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</si>
  <si>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</si>
  <si>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</si>
  <si>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</si>
  <si>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</si>
  <si>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</si>
  <si>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</si>
  <si>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</si>
  <si>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</si>
  <si>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</si>
  <si>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</si>
  <si>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</si>
  <si>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</si>
  <si>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</si>
  <si>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</si>
  <si>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</si>
  <si>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</si>
  <si>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</si>
  <si>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</si>
  <si>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</si>
  <si>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</si>
  <si>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</si>
  <si>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</si>
  <si>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</si>
  <si>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</si>
  <si>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</si>
  <si>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</si>
  <si>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</si>
  <si>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</si>
  <si>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</si>
  <si>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</si>
  <si>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</si>
  <si>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</si>
  <si>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</si>
  <si>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</si>
  <si>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</si>
  <si>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</si>
  <si>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</si>
  <si>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</si>
  <si>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</si>
  <si>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</si>
  <si>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</si>
  <si>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</si>
  <si>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</si>
  <si>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</si>
  <si>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</si>
  <si>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</si>
  <si>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</si>
  <si>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</si>
  <si>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</si>
  <si>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</si>
  <si>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</si>
  <si>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</si>
  <si>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</si>
  <si>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</si>
  <si>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</si>
  <si>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</si>
  <si>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</si>
  <si>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</si>
  <si>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</si>
  <si>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</si>
  <si>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</si>
  <si>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</si>
  <si>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</si>
  <si>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</si>
  <si>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</si>
  <si>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</si>
  <si>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</si>
  <si>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</si>
  <si>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</si>
  <si>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</si>
  <si>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</si>
  <si>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</si>
  <si>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</si>
  <si>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</si>
  <si>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</si>
  <si>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</si>
  <si>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</si>
  <si>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</si>
  <si>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</si>
  <si>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</si>
  <si>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</si>
  <si>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</si>
  <si>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</si>
  <si>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</si>
  <si>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</si>
  <si>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</si>
  <si>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</si>
  <si>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</si>
  <si>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</si>
  <si>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</si>
  <si>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</si>
  <si>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</si>
  <si>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</si>
  <si>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</si>
  <si>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</si>
  <si>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</si>
  <si>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</si>
  <si>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</si>
  <si>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</si>
  <si>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</si>
  <si>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</si>
  <si>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</si>
  <si>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</si>
  <si>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</si>
  <si>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</si>
  <si>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</si>
  <si>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</si>
  <si>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</si>
  <si>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</si>
  <si>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</si>
  <si>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</si>
  <si>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</si>
  <si>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</si>
  <si>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</si>
  <si>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</si>
  <si>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</si>
  <si>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</si>
  <si>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</si>
  <si>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</si>
  <si>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</si>
  <si>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</si>
  <si>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</si>
  <si>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</si>
  <si>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</si>
  <si>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</si>
  <si>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</si>
  <si>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</si>
  <si>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</si>
  <si>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</si>
  <si>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</si>
  <si>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</si>
  <si>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</si>
  <si>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</si>
  <si>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</si>
  <si>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</si>
  <si>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</si>
  <si>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</si>
  <si>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</si>
  <si>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</si>
  <si>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</si>
  <si>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</si>
  <si>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</si>
  <si>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</si>
  <si>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</si>
  <si>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</si>
  <si>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</si>
  <si>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</si>
  <si>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</si>
  <si>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</si>
  <si>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</si>
  <si>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</si>
  <si>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</si>
  <si>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</si>
  <si>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</si>
  <si>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</si>
  <si>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</si>
  <si>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</si>
  <si>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</si>
  <si>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</si>
  <si>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</si>
  <si>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</si>
  <si>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</si>
  <si>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</si>
  <si>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</si>
  <si>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</si>
  <si>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</si>
  <si>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</si>
  <si>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</si>
  <si>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</si>
  <si>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</si>
  <si>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</si>
  <si>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</si>
  <si>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</si>
  <si>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</si>
  <si>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</si>
  <si>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</si>
  <si>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</si>
  <si>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</si>
  <si>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</si>
  <si>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</si>
  <si>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</si>
  <si>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</si>
  <si>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</si>
  <si>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</si>
  <si>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</si>
  <si>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</si>
  <si>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</si>
  <si>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</si>
  <si>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</si>
  <si>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</si>
  <si>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</si>
  <si>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</si>
  <si>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</si>
  <si>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</si>
  <si>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</si>
  <si>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</si>
  <si>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</si>
  <si>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</si>
  <si>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</si>
  <si>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</si>
  <si>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</si>
  <si>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</si>
  <si>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</si>
  <si>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</si>
  <si>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</si>
  <si>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</si>
  <si>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</si>
  <si>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</si>
  <si>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</si>
  <si>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</si>
  <si>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</si>
  <si>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</si>
  <si>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</si>
  <si>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</si>
  <si>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</si>
  <si>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</si>
  <si>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</si>
  <si>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</si>
  <si>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</si>
  <si>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</si>
  <si>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</si>
  <si>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</si>
  <si>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</si>
  <si>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</si>
  <si>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</si>
  <si>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</si>
  <si>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</si>
  <si>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</si>
  <si>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</si>
  <si>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</si>
  <si>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</si>
  <si>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</si>
  <si>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</si>
  <si>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</si>
  <si>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</si>
  <si>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</si>
  <si>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</si>
  <si>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</si>
  <si>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</si>
  <si>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</si>
  <si>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</si>
  <si>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</si>
  <si>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</si>
  <si>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</si>
  <si>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</si>
  <si>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</si>
  <si>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</si>
  <si>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</si>
  <si>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</si>
  <si>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</si>
  <si>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</si>
  <si>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</si>
  <si>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</si>
  <si>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</si>
  <si>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</si>
  <si>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</si>
  <si>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</si>
  <si>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</si>
  <si>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</si>
  <si>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</si>
  <si>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</si>
  <si>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</si>
  <si>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</si>
  <si>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</si>
  <si>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</si>
  <si>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</si>
  <si>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</si>
  <si>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</si>
  <si>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</si>
  <si>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</si>
  <si>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</si>
  <si>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</si>
  <si>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</si>
  <si>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</si>
  <si>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</si>
  <si>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</si>
  <si>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</si>
  <si>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</si>
  <si>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</si>
  <si>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</si>
  <si>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</si>
  <si>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</si>
  <si>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</si>
  <si>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</si>
  <si>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</si>
  <si>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</si>
  <si>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</si>
  <si>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</si>
  <si>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</si>
  <si>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</si>
  <si>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</si>
  <si>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</si>
  <si>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</si>
  <si>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</si>
  <si>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</si>
  <si>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</si>
  <si>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</si>
  <si>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</si>
  <si>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</si>
  <si>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</si>
  <si>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</si>
  <si>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</si>
  <si>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</si>
  <si>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</si>
  <si>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</si>
  <si>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</si>
  <si>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</si>
  <si>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</si>
  <si>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</si>
  <si>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</si>
  <si>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</si>
  <si>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</si>
  <si>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</si>
  <si>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</si>
  <si>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</si>
  <si>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</si>
  <si>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</si>
  <si>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</si>
  <si>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</si>
  <si>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</si>
  <si>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</si>
  <si>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</si>
  <si>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</si>
  <si>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</si>
  <si>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</si>
  <si>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</si>
  <si>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</si>
  <si>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</si>
  <si>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</si>
  <si>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</si>
  <si>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</si>
  <si>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</si>
  <si>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</si>
  <si>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</si>
  <si>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</si>
  <si>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</si>
  <si>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</si>
  <si>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</si>
  <si>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</si>
  <si>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</si>
  <si>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</si>
  <si>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</si>
  <si>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</si>
  <si>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</si>
  <si>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</si>
  <si>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</si>
  <si>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</si>
  <si>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</si>
  <si>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</si>
  <si>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</si>
  <si>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</si>
  <si>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</si>
  <si>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</si>
  <si>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</si>
  <si>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</si>
  <si>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</si>
  <si>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</si>
  <si>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</si>
  <si>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</si>
  <si>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</si>
  <si>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</si>
  <si>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</si>
  <si>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</si>
  <si>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</si>
  <si>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</si>
  <si>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</si>
  <si>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</si>
  <si>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</si>
  <si>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</si>
  <si>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</si>
  <si>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</si>
  <si>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</si>
  <si>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</si>
  <si>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</si>
  <si>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</si>
  <si>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</si>
  <si>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</si>
  <si>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</si>
  <si>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</si>
  <si>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</si>
  <si>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</si>
  <si>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</si>
  <si>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</si>
  <si>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</si>
  <si>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</si>
  <si>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</si>
  <si>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</si>
  <si>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</si>
  <si>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</si>
  <si>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</si>
  <si>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</si>
  <si>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</si>
  <si>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</si>
  <si>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</si>
  <si>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</si>
  <si>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</si>
  <si>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</si>
  <si>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</si>
  <si>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</si>
  <si>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</si>
  <si>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</si>
  <si>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</si>
  <si>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</si>
  <si>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</si>
  <si>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</si>
  <si>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</si>
  <si>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</si>
  <si>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</si>
  <si>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</si>
  <si>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</si>
  <si>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</si>
  <si>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</si>
  <si>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</si>
  <si>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</si>
  <si>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</si>
  <si>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</si>
  <si>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</si>
  <si>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</si>
  <si>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</si>
  <si>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</si>
  <si>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</si>
  <si>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</si>
  <si>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</si>
  <si>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</si>
  <si>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</si>
  <si>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</si>
  <si>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</si>
  <si>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</si>
  <si>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</si>
  <si>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</si>
  <si>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</si>
  <si>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</si>
  <si>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</si>
  <si>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</si>
  <si>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</si>
  <si>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</si>
  <si>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</si>
  <si>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</si>
  <si>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</si>
  <si>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</si>
  <si>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</si>
  <si>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</si>
  <si>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</si>
  <si>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</si>
  <si>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</si>
  <si>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</si>
  <si>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</si>
  <si>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</si>
  <si>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</si>
  <si>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</si>
  <si>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</si>
  <si>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</si>
  <si>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</si>
  <si>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</si>
  <si>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</si>
  <si>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</si>
  <si>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</si>
  <si>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</si>
  <si>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</si>
  <si>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</si>
  <si>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</si>
  <si>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</si>
  <si>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</si>
  <si>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</si>
  <si>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</si>
  <si>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</si>
  <si>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</si>
  <si>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</si>
  <si>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</si>
  <si>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</si>
  <si>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</si>
  <si>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</si>
  <si>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</si>
  <si>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</si>
  <si>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</si>
  <si>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</si>
  <si>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</si>
  <si>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</si>
  <si>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</si>
  <si>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</si>
  <si>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</si>
  <si>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</si>
  <si>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</si>
  <si>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</si>
  <si>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</si>
  <si>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</si>
  <si>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</si>
  <si>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</si>
  <si>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</si>
  <si>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</si>
  <si>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</si>
  <si>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</si>
  <si>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</si>
  <si>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</si>
  <si>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</si>
  <si>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</si>
  <si>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</si>
  <si>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</si>
  <si>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</si>
  <si>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</si>
  <si>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</si>
  <si>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</si>
  <si>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</si>
  <si>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</si>
  <si>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</si>
  <si>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</si>
  <si>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</si>
  <si>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</si>
  <si>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</si>
  <si>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</si>
  <si>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</si>
  <si>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</si>
  <si>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</si>
  <si>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</si>
  <si>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</si>
  <si>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</si>
  <si>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</si>
  <si>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</si>
  <si>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</si>
  <si>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</si>
  <si>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</si>
  <si>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</si>
  <si>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</si>
  <si>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</si>
  <si>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</si>
  <si>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</si>
  <si>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</si>
  <si>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</si>
  <si>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</si>
  <si>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</si>
  <si>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</si>
  <si>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</si>
  <si>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</si>
  <si>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</si>
  <si>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</si>
  <si>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</si>
  <si>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</si>
  <si>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</si>
  <si>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</si>
  <si>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</si>
  <si>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</si>
  <si>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</si>
  <si>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</si>
  <si>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</si>
  <si>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</si>
  <si>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</si>
  <si>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</si>
  <si>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</si>
  <si>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</si>
  <si>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</si>
  <si>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</si>
  <si>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</si>
  <si>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</si>
  <si>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</si>
  <si>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</si>
  <si>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</si>
  <si>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</si>
  <si>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</si>
  <si>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</si>
  <si>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</si>
  <si>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</si>
  <si>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</si>
  <si>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</si>
  <si>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</si>
  <si>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</si>
  <si>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</si>
  <si>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</si>
  <si>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</si>
  <si>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</si>
  <si>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</si>
  <si>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</si>
  <si>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</si>
  <si>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</si>
  <si>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</si>
  <si>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</si>
  <si>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</si>
  <si>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</si>
  <si>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</si>
  <si>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</si>
  <si>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</si>
  <si>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</si>
  <si>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</si>
  <si>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</si>
  <si>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</si>
  <si>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</si>
  <si>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</si>
  <si>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</si>
  <si>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</si>
  <si>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</si>
  <si>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</si>
  <si>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</si>
  <si>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</si>
  <si>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</si>
  <si>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</si>
  <si>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</si>
  <si>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</si>
  <si>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</si>
  <si>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</si>
  <si>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</si>
  <si>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</si>
  <si>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</si>
  <si>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</si>
  <si>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</si>
  <si>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</si>
  <si>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</si>
  <si>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</si>
  <si>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</si>
  <si>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</si>
  <si>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</si>
  <si>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</si>
  <si>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</si>
  <si>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</si>
  <si>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</si>
  <si>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</si>
  <si>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</si>
  <si>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</si>
  <si>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</si>
  <si>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</si>
  <si>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</si>
  <si>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</si>
  <si>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</si>
  <si>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</si>
  <si>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</si>
  <si>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</si>
  <si>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</si>
  <si>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</si>
  <si>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</si>
  <si>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</si>
  <si>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</si>
  <si>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</si>
  <si>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</si>
  <si>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</si>
  <si>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</si>
  <si>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</si>
  <si>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</si>
  <si>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</si>
  <si>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</si>
  <si>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</si>
  <si>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</si>
  <si>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</si>
  <si>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</si>
  <si>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</si>
  <si>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</si>
  <si>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</si>
  <si>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</si>
  <si>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</si>
  <si>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</si>
  <si>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</si>
  <si>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</si>
  <si>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</si>
  <si>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</si>
  <si>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</si>
  <si>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</si>
  <si>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</si>
  <si>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</si>
  <si>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</si>
  <si>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</si>
  <si>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</si>
  <si>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</si>
  <si>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</si>
  <si>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</si>
  <si>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</si>
  <si>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</si>
  <si>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</si>
  <si>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</si>
  <si>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</si>
  <si>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</si>
  <si>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</si>
  <si>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</si>
  <si>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</si>
  <si>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</si>
  <si>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</si>
  <si>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</si>
  <si>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</si>
  <si>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</si>
  <si>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</si>
  <si>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</si>
  <si>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</si>
  <si>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</si>
  <si>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</si>
  <si>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</si>
  <si>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</si>
  <si>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</si>
  <si>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</si>
  <si>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</si>
  <si>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</si>
  <si>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</si>
  <si>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</si>
  <si>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</si>
  <si>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</si>
  <si>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</si>
  <si>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</si>
  <si>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</si>
  <si>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</si>
  <si>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</si>
  <si>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</si>
  <si>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</si>
  <si>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</si>
  <si>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</si>
  <si>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</si>
  <si>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</si>
  <si>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</si>
  <si>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</si>
  <si>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</si>
  <si>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</si>
  <si>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</si>
  <si>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</si>
  <si>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</si>
  <si>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</si>
  <si>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</si>
  <si>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</si>
  <si>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</si>
  <si>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</si>
  <si>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</si>
  <si>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</si>
  <si>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</si>
  <si>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</si>
  <si>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</si>
  <si>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</si>
  <si>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</si>
  <si>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</si>
  <si>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</si>
  <si>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</si>
  <si>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</si>
  <si>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</si>
  <si>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</si>
  <si>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</si>
  <si>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</si>
  <si>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</si>
  <si>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</si>
  <si>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</si>
  <si>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</si>
  <si>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</si>
  <si>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</si>
  <si>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</si>
  <si>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</si>
  <si>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</si>
  <si>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</si>
  <si>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</si>
  <si>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</si>
  <si>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</si>
  <si>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</si>
  <si>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</si>
  <si>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</si>
  <si>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</si>
  <si>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</si>
  <si>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</si>
  <si>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</si>
  <si>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</si>
  <si>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</si>
  <si>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</si>
  <si>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</si>
  <si>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</si>
  <si>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</si>
  <si>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</si>
  <si>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</si>
  <si>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</si>
  <si>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</si>
  <si>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</si>
  <si>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</si>
  <si>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</si>
  <si>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</si>
  <si>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</si>
  <si>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</si>
  <si>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</si>
  <si>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</si>
  <si>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</si>
  <si>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</si>
  <si>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</si>
  <si>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</si>
  <si>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</si>
  <si>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</si>
  <si>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</si>
  <si>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</si>
  <si>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</si>
  <si>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</si>
  <si>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</si>
  <si>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</si>
  <si>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</si>
  <si>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</si>
  <si>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</si>
  <si>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</si>
  <si>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</si>
  <si>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</si>
  <si>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</si>
  <si>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</si>
  <si>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</si>
  <si>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</si>
  <si>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</si>
  <si>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</si>
  <si>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</si>
  <si>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</si>
  <si>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</si>
  <si>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</si>
  <si>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</si>
  <si>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</si>
  <si>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</si>
  <si>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</si>
  <si>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</si>
  <si>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</si>
  <si>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</si>
  <si>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</si>
  <si>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</si>
  <si>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</si>
  <si>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</si>
  <si>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</si>
  <si>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</si>
  <si>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</si>
  <si>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</si>
  <si>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</si>
  <si>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</si>
  <si>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</si>
  <si>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</si>
  <si>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</si>
  <si>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</si>
  <si>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</si>
  <si>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</si>
  <si>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</si>
  <si>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</si>
  <si>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</si>
  <si>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</si>
  <si>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</si>
  <si>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</si>
  <si>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</si>
  <si>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</si>
  <si>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</si>
  <si>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</si>
  <si>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</si>
  <si>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</si>
  <si>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</si>
  <si>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</si>
  <si>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</si>
  <si>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</si>
  <si>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</si>
  <si>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</si>
  <si>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</si>
  <si>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</si>
  <si>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</si>
  <si>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</si>
  <si>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</si>
  <si>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</si>
  <si>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</si>
  <si>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</si>
  <si>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</si>
  <si>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</si>
  <si>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</si>
  <si>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</si>
  <si>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</si>
  <si>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</si>
  <si>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</si>
  <si>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</si>
  <si>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</si>
  <si>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</si>
  <si>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</si>
  <si>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</si>
  <si>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</si>
  <si>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</si>
  <si>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</si>
  <si>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</si>
  <si>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</si>
  <si>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</si>
  <si>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</si>
  <si>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</si>
  <si>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</si>
  <si>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</si>
  <si>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</si>
  <si>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</si>
  <si>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</si>
  <si>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</si>
  <si>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</si>
  <si>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</si>
  <si>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</si>
  <si>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</si>
  <si>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</si>
  <si>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</si>
  <si>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</si>
  <si>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</si>
  <si>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</si>
  <si>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</si>
  <si>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</si>
  <si>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</si>
  <si>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</si>
  <si>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</si>
  <si>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</si>
  <si>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</si>
  <si>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</si>
  <si>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</si>
  <si>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</si>
  <si>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</si>
  <si>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</si>
  <si>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</si>
  <si>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</si>
  <si>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</si>
  <si>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</si>
  <si>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</si>
  <si>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</si>
  <si>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</si>
  <si>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</si>
  <si>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</si>
  <si>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</si>
  <si>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</si>
  <si>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</si>
  <si>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</si>
  <si>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</si>
  <si>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</si>
  <si>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</si>
  <si>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</si>
  <si>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</si>
  <si>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</si>
  <si>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</si>
  <si>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</si>
  <si>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</si>
  <si>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</si>
  <si>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</si>
  <si>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</si>
  <si>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</si>
  <si>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</si>
  <si>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</si>
  <si>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</si>
  <si>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</si>
  <si>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</si>
  <si>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</si>
  <si>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</si>
  <si>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</si>
  <si>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</si>
  <si>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</si>
  <si>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</si>
  <si>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</si>
  <si>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</si>
  <si>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</si>
  <si>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</si>
  <si>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</si>
  <si>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</si>
  <si>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</si>
  <si>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</si>
  <si>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</si>
  <si>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</si>
  <si>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</si>
  <si>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</si>
  <si>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</si>
  <si>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</si>
  <si>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</si>
  <si>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セブン通商　株式会社</t>
    <phoneticPr fontId="1"/>
  </si>
  <si>
    <t>セブン通商　株式会社             代表取締役　小寺　淳史</t>
    <phoneticPr fontId="1"/>
  </si>
  <si>
    <t>三菱</t>
    <phoneticPr fontId="1"/>
  </si>
  <si>
    <t>愛知県碧南市吹上町4丁目36番地</t>
    <phoneticPr fontId="1"/>
  </si>
  <si>
    <t>FS54VZ-520189</t>
    <phoneticPr fontId="1"/>
  </si>
  <si>
    <t>6R10</t>
    <phoneticPr fontId="1"/>
  </si>
  <si>
    <t>宮城100き6512</t>
    <phoneticPr fontId="1"/>
  </si>
  <si>
    <t>平成24年7月</t>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</si>
</sst>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R156"/>
  <sheetViews>
    <sheetView showGridLines="0" view="pageBreakPreview" zoomScale="85" zoomScaleNormal="100" zoomScaleSheetLayoutView="85" workbookViewId="0">
      <pane xSplit="4" ySplit="1" topLeftCell="J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44">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44">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2.5">
      <c r="A131" s="205">
        <v>7605</v>
      </c>
      <c r="B131" s="205" t="s">
        <v>1385</v>
      </c>
      <c r="C131" s="254" t="s">
        <v>1759</v>
      </c>
      <c r="D131" s="206" t="str">
        <f t="shared" ref="D131:D152"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C153" s="262"/>
    </row>
    <row r="156" spans="1:39" ht="13.5" customHeight="1"/>
  </sheetData>
  <autoFilter ref="A1:AJ152"/>
  <mergeCells count="5">
    <mergeCell ref="AO2:AQ2"/>
    <mergeCell ref="AO3:AQ3"/>
    <mergeCell ref="AO5:AQ5"/>
    <mergeCell ref="AO6:AQ6"/>
    <mergeCell ref="AO4:AQ4"/>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tabSelected="1" view="pageBreakPreview" zoomScale="70" zoomScaleNormal="85" zoomScaleSheetLayoutView="70" workbookViewId="0">
      <selection activeCell="A2" sqref="A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08" t="s">
        <v>1920</v>
      </c>
      <c r="N2" s="309"/>
      <c r="O2" s="309"/>
      <c r="P2" s="310"/>
      <c r="Q2" s="78" t="s">
        <v>1926</v>
      </c>
      <c r="R2" s="14"/>
      <c r="S2" s="15"/>
      <c r="T2" s="81" t="s">
        <v>1922</v>
      </c>
      <c r="U2" s="82" t="s">
        <v>1927</v>
      </c>
      <c r="V2" s="18"/>
      <c r="X2" s="86">
        <v>6512</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11" t="s">
        <v>1923</v>
      </c>
      <c r="N4" s="312"/>
      <c r="O4" s="312"/>
      <c r="P4" s="313"/>
      <c r="Q4" s="79" t="s">
        <v>1924</v>
      </c>
      <c r="R4" s="23"/>
      <c r="S4" s="24"/>
      <c r="T4" s="77" t="s">
        <v>1925</v>
      </c>
      <c r="U4" s="25"/>
      <c r="V4" s="26"/>
    </row>
    <row r="5" spans="1:24" ht="17.100000000000001" customHeight="1" thickTop="1" thickBot="1">
      <c r="B5" s="27" t="s">
        <v>7</v>
      </c>
      <c r="C5" s="27"/>
      <c r="D5" s="27"/>
    </row>
    <row r="6" spans="1:24" ht="12" customHeight="1" thickBot="1">
      <c r="B6" s="28" t="s">
        <v>8</v>
      </c>
      <c r="C6" s="5"/>
      <c r="D6" s="6"/>
      <c r="E6" s="7" t="s">
        <v>9</v>
      </c>
      <c r="F6" s="29"/>
      <c r="G6" s="6"/>
      <c r="H6" s="30"/>
      <c r="K6" s="314" t="s">
        <v>8</v>
      </c>
      <c r="L6" s="315"/>
      <c r="M6" s="6" t="s">
        <v>9</v>
      </c>
      <c r="N6" s="100"/>
      <c r="P6" s="28" t="s">
        <v>8</v>
      </c>
      <c r="Q6" s="7" t="s">
        <v>9</v>
      </c>
      <c r="R6" s="30"/>
      <c r="T6" s="28" t="s">
        <v>8</v>
      </c>
      <c r="U6" s="7" t="s">
        <v>9</v>
      </c>
      <c r="V6" s="30"/>
    </row>
    <row r="7" spans="1:24" ht="12" customHeight="1" thickTop="1">
      <c r="B7" s="31" t="s">
        <v>10</v>
      </c>
      <c r="C7" s="32"/>
      <c r="D7" s="32"/>
      <c r="E7" s="12"/>
      <c r="F7" s="12"/>
      <c r="G7" s="12"/>
      <c r="H7" s="18"/>
      <c r="K7" s="316" t="s">
        <v>11</v>
      </c>
      <c r="L7" s="317"/>
      <c r="M7" s="35" t="s">
        <v>12</v>
      </c>
      <c r="N7" s="37"/>
      <c r="O7" s="37"/>
      <c r="P7" s="38"/>
      <c r="Q7" s="36" t="s">
        <v>13</v>
      </c>
      <c r="R7" s="318"/>
      <c r="T7" s="39" t="s">
        <v>14</v>
      </c>
      <c r="U7" s="17"/>
      <c r="V7" s="99"/>
    </row>
    <row r="8" spans="1:24" ht="12" customHeight="1" thickBot="1">
      <c r="B8" s="11"/>
      <c r="C8" s="12"/>
      <c r="D8" s="12"/>
      <c r="E8" s="12"/>
      <c r="F8" s="12"/>
      <c r="G8" s="12"/>
      <c r="H8" s="18"/>
      <c r="K8" s="316" t="s">
        <v>207</v>
      </c>
      <c r="L8" s="317"/>
      <c r="M8" s="40"/>
      <c r="N8" s="98"/>
      <c r="O8" s="37"/>
      <c r="P8" s="42"/>
      <c r="Q8" s="43"/>
      <c r="R8" s="319"/>
      <c r="T8" s="11"/>
      <c r="U8" s="12"/>
      <c r="V8" s="18"/>
    </row>
    <row r="9" spans="1:24" ht="12" customHeight="1" thickTop="1">
      <c r="B9" s="44" t="s">
        <v>208</v>
      </c>
      <c r="C9" s="35"/>
      <c r="D9" s="35"/>
      <c r="E9" s="36" t="s">
        <v>15</v>
      </c>
      <c r="F9" s="35"/>
      <c r="G9" s="35"/>
      <c r="H9" s="318"/>
      <c r="K9" s="11"/>
      <c r="L9" s="13"/>
      <c r="M9" s="36" t="s">
        <v>16</v>
      </c>
      <c r="N9" s="102"/>
      <c r="O9" s="37"/>
      <c r="P9" s="38" t="s">
        <v>209</v>
      </c>
      <c r="Q9" s="36" t="s">
        <v>17</v>
      </c>
      <c r="R9" s="102"/>
      <c r="S9" s="37"/>
      <c r="T9" s="45" t="s">
        <v>18</v>
      </c>
      <c r="U9" s="36" t="s">
        <v>19</v>
      </c>
      <c r="V9" s="318"/>
    </row>
    <row r="10" spans="1:24" ht="12" customHeight="1" thickBot="1">
      <c r="B10" s="46"/>
      <c r="C10" s="40"/>
      <c r="D10" s="40"/>
      <c r="E10" s="41"/>
      <c r="F10" s="40"/>
      <c r="G10" s="40"/>
      <c r="H10" s="320"/>
      <c r="K10" s="11"/>
      <c r="L10" s="13"/>
      <c r="M10" s="41" t="s">
        <v>20</v>
      </c>
      <c r="N10" s="98"/>
      <c r="O10" s="37"/>
      <c r="P10" s="42"/>
      <c r="Q10" s="41"/>
      <c r="R10" s="98"/>
      <c r="S10" s="37"/>
      <c r="T10" s="38" t="s">
        <v>21</v>
      </c>
      <c r="U10" s="47"/>
      <c r="V10" s="320"/>
    </row>
    <row r="11" spans="1:24" ht="12" customHeight="1" thickTop="1">
      <c r="B11" s="11" t="s">
        <v>210</v>
      </c>
      <c r="C11" s="12"/>
      <c r="D11" s="12"/>
      <c r="E11" s="36" t="s">
        <v>22</v>
      </c>
      <c r="F11" s="12"/>
      <c r="G11" s="12"/>
      <c r="H11" s="318"/>
      <c r="K11" s="11"/>
      <c r="L11" s="13"/>
      <c r="M11" s="36" t="s">
        <v>23</v>
      </c>
      <c r="N11" s="319"/>
      <c r="P11" s="31" t="s">
        <v>24</v>
      </c>
      <c r="Q11" s="12"/>
      <c r="R11" s="12"/>
      <c r="S11" s="37"/>
      <c r="T11" s="38"/>
      <c r="U11" s="17" t="s">
        <v>25</v>
      </c>
      <c r="V11" s="318"/>
    </row>
    <row r="12" spans="1:24" ht="12" customHeight="1" thickBot="1">
      <c r="B12" s="11"/>
      <c r="C12" s="12"/>
      <c r="D12" s="12"/>
      <c r="E12" s="41"/>
      <c r="F12" s="12"/>
      <c r="G12" s="12"/>
      <c r="H12" s="320"/>
      <c r="K12" s="46"/>
      <c r="L12" s="48"/>
      <c r="M12" s="41"/>
      <c r="N12" s="320"/>
      <c r="P12" s="46"/>
      <c r="Q12" s="40"/>
      <c r="R12" s="26"/>
      <c r="S12" s="37"/>
      <c r="T12" s="42"/>
      <c r="U12" s="41"/>
      <c r="V12" s="320"/>
    </row>
    <row r="13" spans="1:24" ht="12" customHeight="1" thickTop="1">
      <c r="B13" s="11"/>
      <c r="C13" s="12"/>
      <c r="D13" s="12"/>
      <c r="E13" s="36" t="s">
        <v>26</v>
      </c>
      <c r="F13" s="35"/>
      <c r="G13" s="35"/>
      <c r="H13" s="318"/>
      <c r="K13" s="321" t="s">
        <v>211</v>
      </c>
      <c r="L13" s="322"/>
      <c r="M13" s="36" t="s">
        <v>27</v>
      </c>
      <c r="N13" s="318"/>
      <c r="P13" s="45" t="s">
        <v>212</v>
      </c>
      <c r="Q13" s="36" t="s">
        <v>28</v>
      </c>
      <c r="R13" s="37"/>
      <c r="S13" s="37"/>
      <c r="T13" s="38" t="s">
        <v>29</v>
      </c>
      <c r="U13" s="17" t="s">
        <v>30</v>
      </c>
      <c r="V13" s="318"/>
    </row>
    <row r="14" spans="1:24" ht="12" customHeight="1" thickBot="1">
      <c r="B14" s="11"/>
      <c r="C14" s="40"/>
      <c r="D14" s="48"/>
      <c r="E14" s="41"/>
      <c r="F14" s="40"/>
      <c r="G14" s="40"/>
      <c r="H14" s="319"/>
      <c r="K14" s="46"/>
      <c r="L14" s="48"/>
      <c r="M14" s="41"/>
      <c r="N14" s="319"/>
      <c r="P14" s="11"/>
      <c r="Q14" s="41" t="s">
        <v>31</v>
      </c>
      <c r="R14" s="98"/>
      <c r="S14" s="37"/>
      <c r="T14" s="38" t="s">
        <v>32</v>
      </c>
      <c r="U14" s="17"/>
      <c r="V14" s="320"/>
    </row>
    <row r="15" spans="1:24" ht="12" customHeight="1" thickTop="1">
      <c r="B15" s="45" t="s">
        <v>33</v>
      </c>
      <c r="C15" s="12"/>
      <c r="D15" s="53"/>
      <c r="E15" s="12" t="s">
        <v>34</v>
      </c>
      <c r="F15" s="12"/>
      <c r="G15" s="12"/>
      <c r="H15" s="102"/>
      <c r="I15" s="11"/>
      <c r="K15" s="321" t="s">
        <v>213</v>
      </c>
      <c r="L15" s="322"/>
      <c r="M15" s="12" t="s">
        <v>35</v>
      </c>
      <c r="N15" s="102"/>
      <c r="O15" s="37"/>
      <c r="P15" s="11"/>
      <c r="Q15" s="36" t="s">
        <v>36</v>
      </c>
      <c r="R15" s="37"/>
      <c r="S15" s="37"/>
      <c r="T15" s="38"/>
      <c r="U15" s="36" t="s">
        <v>37</v>
      </c>
      <c r="V15" s="318"/>
    </row>
    <row r="16" spans="1:24" ht="12" customHeight="1" thickBot="1">
      <c r="B16" s="11"/>
      <c r="C16" s="12"/>
      <c r="D16" s="12"/>
      <c r="E16" s="17"/>
      <c r="F16" s="12"/>
      <c r="G16" s="12"/>
      <c r="H16" s="98"/>
      <c r="I16" s="11"/>
      <c r="K16" s="316" t="s">
        <v>38</v>
      </c>
      <c r="L16" s="317"/>
      <c r="M16" s="12" t="s">
        <v>241</v>
      </c>
      <c r="N16" s="98"/>
      <c r="O16" s="37"/>
      <c r="P16" s="11"/>
      <c r="Q16" s="41"/>
      <c r="R16" s="98"/>
      <c r="S16" s="37"/>
      <c r="T16" s="38"/>
      <c r="U16" s="17" t="s">
        <v>39</v>
      </c>
      <c r="V16" s="320"/>
    </row>
    <row r="17" spans="2:23" ht="12" customHeight="1" thickTop="1">
      <c r="B17" s="11"/>
      <c r="C17" s="12"/>
      <c r="D17" s="12"/>
      <c r="E17" s="36" t="s">
        <v>214</v>
      </c>
      <c r="F17" s="35"/>
      <c r="G17" s="35"/>
      <c r="H17" s="319"/>
      <c r="K17" s="11"/>
      <c r="L17" s="13"/>
      <c r="M17" s="36" t="s">
        <v>40</v>
      </c>
      <c r="N17" s="102"/>
      <c r="O17" s="37"/>
      <c r="P17" s="11"/>
      <c r="Q17" s="36" t="s">
        <v>41</v>
      </c>
      <c r="R17" s="37"/>
      <c r="S17" s="37"/>
      <c r="T17" s="38"/>
      <c r="U17" s="36" t="s">
        <v>42</v>
      </c>
      <c r="V17" s="318"/>
    </row>
    <row r="18" spans="2:23" ht="12" customHeight="1" thickBot="1">
      <c r="B18" s="46"/>
      <c r="C18" s="40"/>
      <c r="D18" s="40"/>
      <c r="E18" s="41" t="s">
        <v>43</v>
      </c>
      <c r="F18" s="40"/>
      <c r="G18" s="40"/>
      <c r="H18" s="319"/>
      <c r="K18" s="11"/>
      <c r="L18" s="13"/>
      <c r="M18" s="41"/>
      <c r="N18" s="98"/>
      <c r="O18" s="37"/>
      <c r="P18" s="46"/>
      <c r="Q18" s="41"/>
      <c r="R18" s="98"/>
      <c r="S18" s="37"/>
      <c r="T18" s="38"/>
      <c r="U18" s="41"/>
      <c r="V18" s="320"/>
    </row>
    <row r="19" spans="2:23" ht="12" customHeight="1" thickTop="1">
      <c r="B19" s="45" t="s">
        <v>215</v>
      </c>
      <c r="C19" s="35"/>
      <c r="D19" s="35"/>
      <c r="E19" s="36" t="s">
        <v>44</v>
      </c>
      <c r="F19" s="12"/>
      <c r="G19" s="12"/>
      <c r="H19" s="102"/>
      <c r="I19" s="11"/>
      <c r="K19" s="11"/>
      <c r="L19" s="13"/>
      <c r="M19" s="36" t="s">
        <v>45</v>
      </c>
      <c r="N19" s="319"/>
      <c r="P19" s="45" t="s">
        <v>46</v>
      </c>
      <c r="Q19" s="36" t="s">
        <v>47</v>
      </c>
      <c r="R19" s="37"/>
      <c r="S19" s="37"/>
      <c r="T19" s="45" t="s">
        <v>48</v>
      </c>
      <c r="U19" s="36" t="s">
        <v>49</v>
      </c>
      <c r="V19" s="318"/>
    </row>
    <row r="20" spans="2:23" ht="12" customHeight="1" thickBot="1">
      <c r="B20" s="46"/>
      <c r="C20" s="40"/>
      <c r="D20" s="48"/>
      <c r="E20" s="41"/>
      <c r="F20" s="12"/>
      <c r="G20" s="12"/>
      <c r="H20" s="98"/>
      <c r="I20" s="11"/>
      <c r="K20" s="11"/>
      <c r="L20" s="13"/>
      <c r="M20" s="41"/>
      <c r="N20" s="319"/>
      <c r="P20" s="42" t="s">
        <v>216</v>
      </c>
      <c r="Q20" s="41"/>
      <c r="R20" s="98"/>
      <c r="S20" s="37"/>
      <c r="T20" s="38" t="s">
        <v>50</v>
      </c>
      <c r="U20" s="17" t="s">
        <v>51</v>
      </c>
      <c r="V20" s="320"/>
    </row>
    <row r="21" spans="2:23" ht="12" customHeight="1" thickTop="1">
      <c r="B21" s="45" t="s">
        <v>52</v>
      </c>
      <c r="C21" s="35"/>
      <c r="D21" s="35"/>
      <c r="E21" s="36" t="s">
        <v>217</v>
      </c>
      <c r="F21" s="35"/>
      <c r="G21" s="54"/>
      <c r="H21" s="319"/>
      <c r="K21" s="321" t="s">
        <v>218</v>
      </c>
      <c r="L21" s="322"/>
      <c r="M21" s="36" t="s">
        <v>53</v>
      </c>
      <c r="N21" s="102"/>
      <c r="O21" s="37"/>
      <c r="P21" s="45" t="s">
        <v>54</v>
      </c>
      <c r="Q21" s="36" t="s">
        <v>55</v>
      </c>
      <c r="R21" s="102"/>
      <c r="S21" s="37"/>
      <c r="T21" s="38"/>
      <c r="U21" s="36" t="s">
        <v>56</v>
      </c>
      <c r="V21" s="318"/>
    </row>
    <row r="22" spans="2:23" ht="12" customHeight="1" thickBot="1">
      <c r="B22" s="46"/>
      <c r="C22" s="40"/>
      <c r="D22" s="40"/>
      <c r="E22" s="41"/>
      <c r="F22" s="40"/>
      <c r="G22" s="55"/>
      <c r="H22" s="319"/>
      <c r="K22" s="316" t="s">
        <v>219</v>
      </c>
      <c r="L22" s="317"/>
      <c r="M22" s="41"/>
      <c r="N22" s="98"/>
      <c r="O22" s="37"/>
      <c r="P22" s="38" t="s">
        <v>220</v>
      </c>
      <c r="Q22" s="41"/>
      <c r="R22" s="98"/>
      <c r="S22" s="37"/>
      <c r="T22" s="38"/>
      <c r="U22" s="41"/>
      <c r="V22" s="320"/>
    </row>
    <row r="23" spans="2:23" ht="12" customHeight="1" thickTop="1">
      <c r="B23" s="45" t="s">
        <v>221</v>
      </c>
      <c r="C23" s="35"/>
      <c r="D23" s="35"/>
      <c r="E23" s="36" t="s">
        <v>57</v>
      </c>
      <c r="F23" s="12"/>
      <c r="G23" s="12"/>
      <c r="H23" s="102"/>
      <c r="I23" s="11"/>
      <c r="K23" s="11"/>
      <c r="L23" s="13"/>
      <c r="M23" s="36" t="s">
        <v>58</v>
      </c>
      <c r="N23" s="102"/>
      <c r="O23" s="37"/>
      <c r="P23" s="38"/>
      <c r="Q23" s="12" t="s">
        <v>59</v>
      </c>
      <c r="R23" s="319"/>
      <c r="T23" s="38"/>
      <c r="U23" s="36" t="s">
        <v>60</v>
      </c>
      <c r="V23" s="318"/>
    </row>
    <row r="24" spans="2:23" ht="12" customHeight="1" thickBot="1">
      <c r="B24" s="11" t="s">
        <v>21</v>
      </c>
      <c r="C24" s="12"/>
      <c r="D24" s="12"/>
      <c r="E24" s="41"/>
      <c r="F24" s="40"/>
      <c r="G24" s="40"/>
      <c r="H24" s="98"/>
      <c r="I24" s="11"/>
      <c r="K24" s="11"/>
      <c r="L24" s="13"/>
      <c r="M24" s="17"/>
      <c r="N24" s="98"/>
      <c r="O24" s="37"/>
      <c r="P24" s="38"/>
      <c r="Q24" s="12" t="s">
        <v>61</v>
      </c>
      <c r="R24" s="320"/>
      <c r="T24" s="38"/>
      <c r="U24" s="41"/>
      <c r="V24" s="320"/>
    </row>
    <row r="25" spans="2:23" ht="12" customHeight="1" thickTop="1">
      <c r="B25" s="11"/>
      <c r="C25" s="12"/>
      <c r="D25" s="12"/>
      <c r="E25" s="36" t="s">
        <v>62</v>
      </c>
      <c r="F25" s="35"/>
      <c r="G25" s="35"/>
      <c r="H25" s="102"/>
      <c r="I25" s="11"/>
      <c r="K25" s="11"/>
      <c r="L25" s="13"/>
      <c r="M25" s="36" t="s">
        <v>63</v>
      </c>
      <c r="N25" s="319"/>
      <c r="P25" s="38"/>
      <c r="Q25" s="36" t="s">
        <v>64</v>
      </c>
      <c r="R25" s="318"/>
      <c r="T25" s="38"/>
      <c r="U25" s="17" t="s">
        <v>65</v>
      </c>
      <c r="V25" s="318"/>
    </row>
    <row r="26" spans="2:23" ht="12" customHeight="1" thickBot="1">
      <c r="B26" s="11"/>
      <c r="C26" s="12"/>
      <c r="D26" s="12"/>
      <c r="E26" s="41"/>
      <c r="F26" s="12"/>
      <c r="G26" s="12"/>
      <c r="H26" s="98"/>
      <c r="I26" s="11"/>
      <c r="K26" s="11"/>
      <c r="L26" s="13"/>
      <c r="M26" s="41"/>
      <c r="N26" s="320"/>
      <c r="P26" s="38"/>
      <c r="Q26" s="41"/>
      <c r="R26" s="320"/>
      <c r="T26" s="38"/>
      <c r="U26" s="41" t="s">
        <v>66</v>
      </c>
      <c r="V26" s="320"/>
    </row>
    <row r="27" spans="2:23" ht="12" customHeight="1" thickTop="1">
      <c r="B27" s="11"/>
      <c r="C27" s="12"/>
      <c r="D27" s="12"/>
      <c r="E27" s="36" t="s">
        <v>26</v>
      </c>
      <c r="F27" s="35"/>
      <c r="G27" s="54"/>
      <c r="H27" s="319"/>
      <c r="K27" s="11"/>
      <c r="L27" s="13"/>
      <c r="M27" s="36" t="s">
        <v>67</v>
      </c>
      <c r="N27" s="318"/>
      <c r="P27" s="38"/>
      <c r="Q27" s="36" t="s">
        <v>222</v>
      </c>
      <c r="R27" s="318"/>
      <c r="T27" s="38"/>
      <c r="U27" s="17" t="s">
        <v>68</v>
      </c>
      <c r="V27" s="318"/>
    </row>
    <row r="28" spans="2:23" ht="12" customHeight="1" thickBot="1">
      <c r="B28" s="46"/>
      <c r="C28" s="40"/>
      <c r="D28" s="40"/>
      <c r="E28" s="41"/>
      <c r="F28" s="40"/>
      <c r="G28" s="55"/>
      <c r="H28" s="320"/>
      <c r="K28" s="46"/>
      <c r="L28" s="48"/>
      <c r="M28" s="41"/>
      <c r="N28" s="320"/>
      <c r="P28" s="42"/>
      <c r="Q28" s="41"/>
      <c r="R28" s="319"/>
      <c r="T28" s="56"/>
      <c r="U28" s="57"/>
      <c r="V28" s="320"/>
    </row>
    <row r="29" spans="2:23" ht="12" customHeight="1" thickTop="1">
      <c r="B29" s="31" t="s">
        <v>69</v>
      </c>
      <c r="C29" s="32"/>
      <c r="D29" s="32"/>
      <c r="E29" s="12"/>
      <c r="F29" s="12"/>
      <c r="G29" s="12"/>
      <c r="H29" s="12"/>
      <c r="I29" s="11"/>
      <c r="K29" s="321" t="s">
        <v>70</v>
      </c>
      <c r="L29" s="322"/>
      <c r="M29" s="12" t="s">
        <v>66</v>
      </c>
      <c r="N29" s="318"/>
      <c r="P29" s="38" t="s">
        <v>223</v>
      </c>
      <c r="Q29" s="17" t="s">
        <v>47</v>
      </c>
      <c r="R29" s="103"/>
      <c r="S29" s="37"/>
      <c r="T29" s="38" t="s">
        <v>71</v>
      </c>
      <c r="U29" s="17" t="s">
        <v>36</v>
      </c>
      <c r="V29" s="58"/>
    </row>
    <row r="30" spans="2:23" ht="12" customHeight="1" thickBot="1">
      <c r="B30" s="46"/>
      <c r="C30" s="40"/>
      <c r="D30" s="40"/>
      <c r="E30" s="40"/>
      <c r="F30" s="40"/>
      <c r="G30" s="40"/>
      <c r="H30" s="26"/>
      <c r="I30" s="11"/>
      <c r="K30" s="316" t="s">
        <v>72</v>
      </c>
      <c r="L30" s="317"/>
      <c r="M30" s="52"/>
      <c r="N30" s="320"/>
      <c r="P30" s="42"/>
      <c r="Q30" s="41"/>
      <c r="R30" s="101"/>
      <c r="S30" s="37"/>
      <c r="T30" s="38" t="s">
        <v>73</v>
      </c>
      <c r="U30" s="17"/>
      <c r="V30" s="59"/>
    </row>
    <row r="31" spans="2:23" ht="12" customHeight="1" thickBot="1">
      <c r="B31" s="44" t="s">
        <v>224</v>
      </c>
      <c r="C31" s="35"/>
      <c r="D31" s="53"/>
      <c r="E31" s="36" t="s">
        <v>74</v>
      </c>
      <c r="F31" s="35"/>
      <c r="G31" s="35"/>
      <c r="H31" s="37"/>
      <c r="I31" s="11"/>
      <c r="K31" s="323" t="s">
        <v>75</v>
      </c>
      <c r="L31" s="324"/>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21" t="s">
        <v>226</v>
      </c>
      <c r="L33" s="322"/>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19"/>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19"/>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19"/>
      <c r="P37" s="11"/>
      <c r="Q37" s="36" t="s">
        <v>247</v>
      </c>
      <c r="R37" s="319"/>
      <c r="T37" s="38"/>
      <c r="U37" s="41"/>
      <c r="V37" s="98"/>
      <c r="W37" s="12"/>
    </row>
    <row r="38" spans="2:28" ht="12" customHeight="1" thickBot="1">
      <c r="B38" s="46"/>
      <c r="C38" s="40"/>
      <c r="D38" s="48"/>
      <c r="E38" s="41"/>
      <c r="F38" s="40"/>
      <c r="G38" s="40"/>
      <c r="H38" s="98"/>
      <c r="I38" s="11"/>
      <c r="K38" s="11"/>
      <c r="L38" s="13"/>
      <c r="M38" s="52" t="s">
        <v>92</v>
      </c>
      <c r="N38" s="319"/>
      <c r="P38" s="42"/>
      <c r="Q38" s="41" t="s">
        <v>93</v>
      </c>
      <c r="R38" s="319"/>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19"/>
      <c r="P41" s="45" t="s">
        <v>98</v>
      </c>
      <c r="Q41" s="36" t="s">
        <v>99</v>
      </c>
      <c r="R41" s="37"/>
      <c r="S41" s="37"/>
      <c r="T41" s="45" t="s">
        <v>100</v>
      </c>
      <c r="U41" s="17" t="s">
        <v>101</v>
      </c>
      <c r="V41" s="325"/>
      <c r="W41" s="12"/>
    </row>
    <row r="42" spans="2:28" ht="12" customHeight="1" thickBot="1">
      <c r="B42" s="46"/>
      <c r="C42" s="40"/>
      <c r="D42" s="48"/>
      <c r="E42" s="41"/>
      <c r="F42" s="12"/>
      <c r="G42" s="12"/>
      <c r="H42" s="98"/>
      <c r="I42" s="11"/>
      <c r="K42" s="11"/>
      <c r="L42" s="13"/>
      <c r="M42" s="41" t="s">
        <v>102</v>
      </c>
      <c r="N42" s="320"/>
      <c r="P42" s="42"/>
      <c r="Q42" s="41"/>
      <c r="R42" s="98"/>
      <c r="S42" s="37"/>
      <c r="T42" s="38" t="s">
        <v>103</v>
      </c>
      <c r="U42" s="17" t="s">
        <v>104</v>
      </c>
      <c r="V42" s="326"/>
      <c r="W42" s="12"/>
    </row>
    <row r="43" spans="2:28" ht="12" customHeight="1" thickTop="1">
      <c r="B43" s="44" t="s">
        <v>248</v>
      </c>
      <c r="C43" s="35"/>
      <c r="D43" s="35"/>
      <c r="E43" s="36" t="s">
        <v>105</v>
      </c>
      <c r="F43" s="35"/>
      <c r="G43" s="54"/>
      <c r="H43" s="319"/>
      <c r="K43" s="11"/>
      <c r="L43" s="13"/>
      <c r="M43" s="17" t="s">
        <v>234</v>
      </c>
      <c r="N43" s="318"/>
      <c r="P43" s="62" t="s">
        <v>106</v>
      </c>
      <c r="Q43" s="35"/>
      <c r="R43" s="12"/>
      <c r="S43" s="63"/>
      <c r="T43" s="38"/>
      <c r="U43" s="36" t="s">
        <v>107</v>
      </c>
      <c r="V43" s="319"/>
    </row>
    <row r="44" spans="2:28" ht="12" customHeight="1" thickBot="1">
      <c r="B44" s="11" t="s">
        <v>108</v>
      </c>
      <c r="C44" s="12"/>
      <c r="D44" s="12"/>
      <c r="E44" s="17"/>
      <c r="F44" s="12"/>
      <c r="G44" s="64"/>
      <c r="H44" s="319"/>
      <c r="K44" s="11"/>
      <c r="L44" s="13"/>
      <c r="M44" s="41"/>
      <c r="N44" s="320"/>
      <c r="P44" s="46"/>
      <c r="Q44" s="40"/>
      <c r="R44" s="26"/>
      <c r="S44" s="37"/>
      <c r="T44" s="42"/>
      <c r="U44" s="41"/>
      <c r="V44" s="319"/>
    </row>
    <row r="45" spans="2:28" ht="12" customHeight="1" thickTop="1" thickBot="1">
      <c r="B45" s="46" t="s">
        <v>249</v>
      </c>
      <c r="C45" s="40"/>
      <c r="D45" s="40"/>
      <c r="E45" s="41"/>
      <c r="F45" s="40"/>
      <c r="G45" s="55"/>
      <c r="H45" s="319"/>
      <c r="K45" s="60" t="s">
        <v>109</v>
      </c>
      <c r="L45" s="61"/>
      <c r="M45" s="12"/>
      <c r="N45" s="18"/>
      <c r="P45" s="38" t="s">
        <v>110</v>
      </c>
      <c r="Q45" s="17" t="s">
        <v>250</v>
      </c>
      <c r="R45" s="37"/>
      <c r="S45" s="37"/>
      <c r="T45" s="38" t="s">
        <v>111</v>
      </c>
      <c r="U45" s="17" t="s">
        <v>112</v>
      </c>
      <c r="V45" s="325"/>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26"/>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19"/>
      <c r="K48" s="11"/>
      <c r="L48" s="13"/>
      <c r="M48" s="41"/>
      <c r="N48" s="98"/>
      <c r="O48" s="37"/>
      <c r="P48" s="38"/>
      <c r="Q48" s="41"/>
      <c r="R48" s="98"/>
      <c r="S48" s="37"/>
      <c r="T48" s="42"/>
      <c r="U48" s="41"/>
      <c r="V48" s="98"/>
      <c r="W48" s="12"/>
    </row>
    <row r="49" spans="2:23" ht="12" customHeight="1" thickBot="1">
      <c r="B49" s="46"/>
      <c r="C49" s="40"/>
      <c r="D49" s="40"/>
      <c r="E49" s="41"/>
      <c r="F49" s="40"/>
      <c r="G49" s="55"/>
      <c r="H49" s="320"/>
      <c r="K49" s="11"/>
      <c r="L49" s="13"/>
      <c r="M49" s="65" t="s">
        <v>119</v>
      </c>
      <c r="N49" s="319"/>
      <c r="P49" s="38"/>
      <c r="Q49" s="36" t="s">
        <v>120</v>
      </c>
      <c r="R49" s="102"/>
      <c r="S49" s="37"/>
      <c r="T49" s="38" t="s">
        <v>121</v>
      </c>
      <c r="U49" s="36" t="s">
        <v>122</v>
      </c>
      <c r="V49" s="319"/>
    </row>
    <row r="50" spans="2:23" ht="12" customHeight="1" thickTop="1" thickBot="1">
      <c r="B50" s="44" t="s">
        <v>237</v>
      </c>
      <c r="C50" s="35"/>
      <c r="D50" s="35"/>
      <c r="E50" s="36" t="s">
        <v>66</v>
      </c>
      <c r="F50" s="12"/>
      <c r="G50" s="12"/>
      <c r="H50" s="318"/>
      <c r="K50" s="11"/>
      <c r="L50" s="13"/>
      <c r="M50" s="66" t="s">
        <v>104</v>
      </c>
      <c r="N50" s="320"/>
      <c r="P50" s="38"/>
      <c r="Q50" s="41"/>
      <c r="R50" s="98"/>
      <c r="S50" s="37"/>
      <c r="T50" s="38"/>
      <c r="U50" s="41"/>
      <c r="V50" s="320"/>
    </row>
    <row r="51" spans="2:23" ht="12" customHeight="1" thickTop="1">
      <c r="B51" s="11" t="s">
        <v>123</v>
      </c>
      <c r="C51" s="12"/>
      <c r="D51" s="12"/>
      <c r="E51" s="17"/>
      <c r="F51" s="12"/>
      <c r="G51" s="12"/>
      <c r="H51" s="319"/>
      <c r="K51" s="49" t="s">
        <v>251</v>
      </c>
      <c r="L51" s="50"/>
      <c r="M51" s="36" t="s">
        <v>115</v>
      </c>
      <c r="N51" s="318"/>
      <c r="P51" s="38"/>
      <c r="Q51" s="17" t="s">
        <v>124</v>
      </c>
      <c r="R51" s="319"/>
      <c r="T51" s="38"/>
      <c r="U51" s="17" t="s">
        <v>125</v>
      </c>
      <c r="V51" s="318"/>
    </row>
    <row r="52" spans="2:23" ht="12" customHeight="1" thickBot="1">
      <c r="B52" s="46" t="s">
        <v>238</v>
      </c>
      <c r="C52" s="40"/>
      <c r="D52" s="40"/>
      <c r="E52" s="41"/>
      <c r="F52" s="12"/>
      <c r="G52" s="12"/>
      <c r="H52" s="320"/>
      <c r="K52" s="11"/>
      <c r="L52" s="13"/>
      <c r="M52" s="41"/>
      <c r="N52" s="320"/>
      <c r="P52" s="42"/>
      <c r="Q52" s="41" t="s">
        <v>126</v>
      </c>
      <c r="R52" s="319"/>
      <c r="T52" s="42"/>
      <c r="U52" s="41" t="s">
        <v>104</v>
      </c>
      <c r="V52" s="320"/>
    </row>
    <row r="53" spans="2:23" ht="12" customHeight="1" thickTop="1">
      <c r="B53" s="44" t="s">
        <v>127</v>
      </c>
      <c r="C53" s="35"/>
      <c r="D53" s="35"/>
      <c r="E53" s="36" t="s">
        <v>128</v>
      </c>
      <c r="F53" s="35"/>
      <c r="G53" s="54"/>
      <c r="H53" s="318"/>
      <c r="K53" s="11"/>
      <c r="L53" s="13"/>
      <c r="M53" s="36" t="s">
        <v>129</v>
      </c>
      <c r="N53" s="318"/>
      <c r="P53" s="38" t="s">
        <v>130</v>
      </c>
      <c r="Q53" s="17" t="s">
        <v>22</v>
      </c>
      <c r="R53" s="102"/>
      <c r="S53" s="37"/>
      <c r="T53" s="38" t="s">
        <v>131</v>
      </c>
      <c r="U53" s="17" t="s">
        <v>132</v>
      </c>
      <c r="V53" s="318"/>
    </row>
    <row r="54" spans="2:23" ht="12" customHeight="1" thickBot="1">
      <c r="B54" s="11"/>
      <c r="C54" s="12"/>
      <c r="D54" s="12"/>
      <c r="E54" s="41"/>
      <c r="F54" s="40"/>
      <c r="G54" s="55"/>
      <c r="H54" s="320"/>
      <c r="K54" s="46"/>
      <c r="L54" s="48"/>
      <c r="M54" s="41" t="s">
        <v>104</v>
      </c>
      <c r="N54" s="319"/>
      <c r="P54" s="42"/>
      <c r="Q54" s="41"/>
      <c r="R54" s="98"/>
      <c r="S54" s="37"/>
      <c r="T54" s="38"/>
      <c r="U54" s="17" t="s">
        <v>133</v>
      </c>
      <c r="V54" s="320"/>
    </row>
    <row r="55" spans="2:23" ht="12" customHeight="1" thickTop="1">
      <c r="B55" s="11"/>
      <c r="C55" s="12"/>
      <c r="D55" s="12"/>
      <c r="E55" s="36" t="s">
        <v>66</v>
      </c>
      <c r="F55" s="12"/>
      <c r="G55" s="12"/>
      <c r="H55" s="318"/>
      <c r="K55" s="33" t="s">
        <v>239</v>
      </c>
      <c r="L55" s="34"/>
      <c r="M55" s="51" t="s">
        <v>134</v>
      </c>
      <c r="N55" s="102"/>
      <c r="O55" s="37"/>
      <c r="P55" s="45" t="s">
        <v>135</v>
      </c>
      <c r="Q55" s="36" t="s">
        <v>136</v>
      </c>
      <c r="R55" s="37"/>
      <c r="S55" s="37"/>
      <c r="T55" s="45" t="s">
        <v>137</v>
      </c>
      <c r="U55" s="36" t="s">
        <v>66</v>
      </c>
      <c r="V55" s="318"/>
    </row>
    <row r="56" spans="2:23" ht="12" customHeight="1" thickBot="1">
      <c r="B56" s="46"/>
      <c r="C56" s="40"/>
      <c r="D56" s="40"/>
      <c r="E56" s="41"/>
      <c r="F56" s="12"/>
      <c r="G56" s="12"/>
      <c r="H56" s="320"/>
      <c r="K56" s="11"/>
      <c r="L56" s="12"/>
      <c r="M56" s="41"/>
      <c r="N56" s="98"/>
      <c r="O56" s="37"/>
      <c r="P56" s="42"/>
      <c r="Q56" s="41"/>
      <c r="R56" s="98"/>
      <c r="S56" s="37"/>
      <c r="T56" s="42"/>
      <c r="U56" s="41"/>
      <c r="V56" s="319"/>
    </row>
    <row r="57" spans="2:23" ht="12" customHeight="1" thickTop="1">
      <c r="B57" s="45" t="s">
        <v>240</v>
      </c>
      <c r="C57" s="35"/>
      <c r="D57" s="35"/>
      <c r="E57" s="36" t="s">
        <v>138</v>
      </c>
      <c r="F57" s="35"/>
      <c r="G57" s="54"/>
      <c r="H57" s="318"/>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0"/>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19"/>
      <c r="T59" s="45"/>
      <c r="U59" s="51"/>
      <c r="V59" s="68"/>
    </row>
    <row r="60" spans="2:23" ht="12" customHeight="1" thickBot="1">
      <c r="B60" s="21"/>
      <c r="C60" s="22"/>
      <c r="D60" s="22"/>
      <c r="E60" s="22"/>
      <c r="F60" s="22"/>
      <c r="G60" s="22"/>
      <c r="H60" s="26"/>
      <c r="K60" s="21"/>
      <c r="L60" s="22"/>
      <c r="M60" s="25" t="s">
        <v>241</v>
      </c>
      <c r="N60" s="98"/>
      <c r="O60" s="37"/>
      <c r="P60" s="56"/>
      <c r="Q60" s="57"/>
      <c r="R60" s="320"/>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7" t="s">
        <v>146</v>
      </c>
      <c r="D64" s="328"/>
      <c r="E64" s="328"/>
      <c r="F64" s="329"/>
      <c r="I64" s="314" t="s">
        <v>147</v>
      </c>
      <c r="J64" s="330"/>
      <c r="K64" s="330"/>
      <c r="L64" s="331"/>
      <c r="M64" s="2" t="s">
        <v>164</v>
      </c>
      <c r="N64" s="3"/>
      <c r="O64" s="3"/>
      <c r="P64" s="3"/>
      <c r="Q64" s="3"/>
      <c r="R64" s="3"/>
      <c r="S64" s="3"/>
      <c r="T64" s="334" t="s">
        <v>148</v>
      </c>
      <c r="U64" s="336" t="s">
        <v>165</v>
      </c>
    </row>
    <row r="65" spans="3:21" ht="6.95" customHeight="1">
      <c r="C65" s="338" t="s">
        <v>149</v>
      </c>
      <c r="D65" s="338" t="s">
        <v>252</v>
      </c>
      <c r="E65" s="338" t="s">
        <v>150</v>
      </c>
      <c r="F65" s="338" t="s">
        <v>253</v>
      </c>
      <c r="I65" s="316"/>
      <c r="J65" s="332"/>
      <c r="K65" s="332"/>
      <c r="L65" s="333"/>
      <c r="M65" s="11"/>
      <c r="N65" s="12"/>
      <c r="O65" s="12"/>
      <c r="P65" s="12"/>
      <c r="Q65" s="12"/>
      <c r="R65" s="12"/>
      <c r="S65" s="12"/>
      <c r="T65" s="335"/>
      <c r="U65" s="337"/>
    </row>
    <row r="66" spans="3:21" ht="6.95" customHeight="1">
      <c r="C66" s="338"/>
      <c r="D66" s="338"/>
      <c r="E66" s="338"/>
      <c r="F66" s="338"/>
      <c r="I66" s="339" t="s">
        <v>151</v>
      </c>
      <c r="J66" s="340"/>
      <c r="K66" s="340"/>
      <c r="L66" s="341"/>
      <c r="M66" s="348" t="s">
        <v>1923</v>
      </c>
      <c r="N66" s="349"/>
      <c r="O66" s="349"/>
      <c r="P66" s="349"/>
      <c r="Q66" s="349"/>
      <c r="R66" s="349"/>
      <c r="S66" s="350"/>
      <c r="T66" s="345" t="s">
        <v>152</v>
      </c>
      <c r="U66" s="346"/>
    </row>
    <row r="67" spans="3:21" ht="14.1" customHeight="1">
      <c r="C67" s="72" t="s">
        <v>153</v>
      </c>
      <c r="D67" s="72" t="s">
        <v>254</v>
      </c>
      <c r="E67" s="72" t="s">
        <v>154</v>
      </c>
      <c r="F67" s="72" t="s">
        <v>255</v>
      </c>
      <c r="I67" s="342"/>
      <c r="J67" s="343"/>
      <c r="K67" s="343"/>
      <c r="L67" s="344"/>
      <c r="M67" s="348"/>
      <c r="N67" s="349"/>
      <c r="O67" s="349"/>
      <c r="P67" s="349"/>
      <c r="Q67" s="349"/>
      <c r="R67" s="349"/>
      <c r="S67" s="350"/>
      <c r="T67" s="335"/>
      <c r="U67" s="347"/>
    </row>
    <row r="68" spans="3:21" ht="14.1" customHeight="1">
      <c r="C68" s="72" t="s">
        <v>155</v>
      </c>
      <c r="D68" s="72" t="s">
        <v>256</v>
      </c>
      <c r="E68" s="72" t="s">
        <v>156</v>
      </c>
      <c r="F68" s="72" t="s">
        <v>257</v>
      </c>
      <c r="I68" s="354" t="s">
        <v>258</v>
      </c>
      <c r="J68" s="355"/>
      <c r="K68" s="358" t="s">
        <v>259</v>
      </c>
      <c r="L68" s="359"/>
      <c r="M68" s="348" t="s">
        <v>1921</v>
      </c>
      <c r="N68" s="349"/>
      <c r="O68" s="349"/>
      <c r="P68" s="349"/>
      <c r="Q68" s="349"/>
      <c r="R68" s="349"/>
      <c r="S68" s="350"/>
      <c r="T68" s="345" t="s">
        <v>157</v>
      </c>
      <c r="U68" s="346"/>
    </row>
    <row r="69" spans="3:21" ht="6.95" customHeight="1">
      <c r="C69" s="338" t="s">
        <v>158</v>
      </c>
      <c r="D69" s="338" t="s">
        <v>242</v>
      </c>
      <c r="E69" s="338" t="s">
        <v>159</v>
      </c>
      <c r="F69" s="338" t="s">
        <v>260</v>
      </c>
      <c r="I69" s="342"/>
      <c r="J69" s="362"/>
      <c r="K69" s="363"/>
      <c r="L69" s="364"/>
      <c r="M69" s="348"/>
      <c r="N69" s="349"/>
      <c r="O69" s="349"/>
      <c r="P69" s="349"/>
      <c r="Q69" s="349"/>
      <c r="R69" s="349"/>
      <c r="S69" s="350"/>
      <c r="T69" s="335"/>
      <c r="U69" s="347"/>
    </row>
    <row r="70" spans="3:21" ht="6.95" customHeight="1">
      <c r="C70" s="338"/>
      <c r="D70" s="338"/>
      <c r="E70" s="338"/>
      <c r="F70" s="338"/>
      <c r="I70" s="354" t="s">
        <v>261</v>
      </c>
      <c r="J70" s="355"/>
      <c r="K70" s="358" t="s">
        <v>262</v>
      </c>
      <c r="L70" s="359"/>
      <c r="M70" s="348"/>
      <c r="N70" s="349"/>
      <c r="O70" s="349"/>
      <c r="P70" s="349"/>
      <c r="Q70" s="349"/>
      <c r="R70" s="349"/>
      <c r="S70" s="350"/>
      <c r="T70" s="345" t="s">
        <v>160</v>
      </c>
      <c r="U70" s="352"/>
    </row>
    <row r="71" spans="3:21" ht="14.1" customHeight="1" thickBot="1">
      <c r="C71" s="72" t="s">
        <v>161</v>
      </c>
      <c r="D71" s="73"/>
      <c r="E71" s="72"/>
      <c r="F71" s="72"/>
      <c r="I71" s="356"/>
      <c r="J71" s="357"/>
      <c r="K71" s="360"/>
      <c r="L71" s="361"/>
      <c r="M71" s="365"/>
      <c r="N71" s="366"/>
      <c r="O71" s="366"/>
      <c r="P71" s="366"/>
      <c r="Q71" s="366"/>
      <c r="R71" s="366"/>
      <c r="S71" s="367"/>
      <c r="T71" s="351"/>
      <c r="U71" s="353"/>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382" t="str">
        <f>VLOOKUP($AA$2,車両一覧!$A$2:$T$152,4,0)</f>
        <v>宮城100き4410</v>
      </c>
      <c r="O3" s="383"/>
      <c r="P3" s="383"/>
      <c r="Q3" s="383"/>
      <c r="R3" s="384"/>
      <c r="S3" s="271" t="str">
        <f>VLOOKUP($AA$2,車両一覧!$A$2:$T$152,7,0)</f>
        <v>三菱</v>
      </c>
      <c r="T3" s="169"/>
      <c r="U3" s="18"/>
    </row>
    <row r="4" spans="2:27" ht="15.95" customHeight="1" thickBot="1">
      <c r="E4" s="165"/>
      <c r="F4" s="165"/>
      <c r="G4" s="165"/>
      <c r="H4" s="165"/>
      <c r="I4" s="165"/>
      <c r="K4" s="11" t="s">
        <v>4</v>
      </c>
      <c r="L4" s="126"/>
      <c r="M4" s="276"/>
      <c r="N4" s="83" t="s">
        <v>453</v>
      </c>
      <c r="O4" s="170"/>
      <c r="P4" s="386"/>
      <c r="Q4" s="386"/>
      <c r="R4" s="387"/>
      <c r="S4" s="16" t="s">
        <v>448</v>
      </c>
      <c r="T4" s="273"/>
      <c r="U4" s="84"/>
    </row>
    <row r="5" spans="2:27" ht="25.5" customHeight="1" thickTop="1" thickBot="1">
      <c r="B5" s="415" t="s">
        <v>5</v>
      </c>
      <c r="C5" s="415"/>
      <c r="E5" s="168"/>
      <c r="F5" s="165" t="s">
        <v>447</v>
      </c>
      <c r="G5" s="167"/>
      <c r="H5" s="166"/>
      <c r="I5" s="165" t="s">
        <v>446</v>
      </c>
      <c r="J5" s="8"/>
      <c r="K5" s="277"/>
      <c r="L5" s="272"/>
      <c r="M5" s="278"/>
      <c r="N5" s="379" t="str">
        <f>VLOOKUP($AA$2,車両一覧!$A$2:$T$152,8,0)</f>
        <v>FS54JZ-542354</v>
      </c>
      <c r="O5" s="380"/>
      <c r="P5" s="380"/>
      <c r="Q5" s="380"/>
      <c r="R5" s="381"/>
      <c r="S5" s="272" t="str">
        <f>VLOOKUP($AA$2,車両一覧!$A$2:$T$152,5,0)</f>
        <v>平成19年5月</v>
      </c>
      <c r="T5" s="164"/>
      <c r="U5" s="26"/>
    </row>
    <row r="6" spans="2:27" ht="17.100000000000001" customHeight="1" thickBot="1">
      <c r="B6" s="27" t="s">
        <v>7</v>
      </c>
      <c r="C6" s="27"/>
    </row>
    <row r="7" spans="2:27" ht="18" customHeight="1" thickBot="1">
      <c r="B7" s="419" t="s">
        <v>8</v>
      </c>
      <c r="C7" s="420"/>
      <c r="D7" s="421" t="s">
        <v>9</v>
      </c>
      <c r="E7" s="422"/>
      <c r="F7" s="420"/>
      <c r="G7" s="30"/>
      <c r="H7" s="12"/>
      <c r="K7" s="28" t="s">
        <v>8</v>
      </c>
      <c r="L7" s="175" t="s">
        <v>9</v>
      </c>
      <c r="M7" s="4"/>
      <c r="N7" s="115"/>
      <c r="R7" s="28" t="s">
        <v>8</v>
      </c>
      <c r="S7" s="7" t="s">
        <v>9</v>
      </c>
      <c r="T7" s="30"/>
      <c r="U7" s="148"/>
      <c r="V7" s="148"/>
      <c r="W7" s="148"/>
      <c r="X7" s="148"/>
    </row>
    <row r="8" spans="2:27" ht="18" customHeight="1" thickTop="1">
      <c r="B8" s="323" t="s">
        <v>69</v>
      </c>
      <c r="C8" s="324"/>
      <c r="D8" s="423"/>
      <c r="E8" s="423"/>
      <c r="F8" s="423"/>
      <c r="G8" s="18"/>
      <c r="H8" s="12"/>
      <c r="K8" s="31"/>
      <c r="L8" s="36" t="s">
        <v>45</v>
      </c>
      <c r="M8" s="54"/>
      <c r="N8" s="158"/>
      <c r="R8" s="31" t="s">
        <v>76</v>
      </c>
      <c r="S8" s="12"/>
      <c r="T8" s="18"/>
      <c r="U8" s="148"/>
      <c r="V8" s="149"/>
      <c r="W8" s="148"/>
      <c r="X8" s="148"/>
    </row>
    <row r="9" spans="2:27" ht="18" customHeight="1" thickBot="1">
      <c r="B9" s="342"/>
      <c r="C9" s="343"/>
      <c r="D9" s="343"/>
      <c r="E9" s="343"/>
      <c r="F9" s="343"/>
      <c r="G9" s="18"/>
      <c r="H9" s="12"/>
      <c r="K9" s="46"/>
      <c r="L9" s="17"/>
      <c r="M9" s="64"/>
      <c r="N9" s="156"/>
      <c r="R9" s="46"/>
      <c r="S9" s="40"/>
      <c r="T9" s="131"/>
      <c r="U9" s="148"/>
      <c r="V9" s="148"/>
      <c r="W9" s="148"/>
      <c r="X9" s="148"/>
    </row>
    <row r="10" spans="2:27" ht="18" customHeight="1" thickTop="1">
      <c r="B10" s="321" t="s">
        <v>445</v>
      </c>
      <c r="C10" s="322"/>
      <c r="D10" s="385" t="s">
        <v>81</v>
      </c>
      <c r="E10" s="401"/>
      <c r="F10" s="401"/>
      <c r="G10" s="155"/>
      <c r="H10" s="148"/>
      <c r="K10" s="31" t="s">
        <v>75</v>
      </c>
      <c r="L10" s="35"/>
      <c r="M10" s="35"/>
      <c r="N10" s="18"/>
      <c r="R10" s="45" t="s">
        <v>98</v>
      </c>
      <c r="S10" s="51" t="s">
        <v>99</v>
      </c>
      <c r="T10" s="155"/>
      <c r="U10" s="148"/>
      <c r="V10" s="148"/>
      <c r="W10" s="148"/>
      <c r="X10" s="148"/>
    </row>
    <row r="11" spans="2:27" ht="18" customHeight="1">
      <c r="B11" s="342"/>
      <c r="C11" s="362"/>
      <c r="D11" s="396"/>
      <c r="E11" s="343"/>
      <c r="F11" s="343"/>
      <c r="G11" s="157"/>
      <c r="H11" s="148"/>
      <c r="K11" s="46"/>
      <c r="L11" s="40"/>
      <c r="M11" s="40"/>
      <c r="N11" s="131"/>
      <c r="R11" s="42"/>
      <c r="S11" s="52"/>
      <c r="T11" s="157"/>
      <c r="U11" s="148"/>
      <c r="V11" s="148"/>
      <c r="W11" s="148"/>
      <c r="X11" s="148"/>
    </row>
    <row r="12" spans="2:27" ht="18" customHeight="1">
      <c r="B12" s="321" t="s">
        <v>87</v>
      </c>
      <c r="C12" s="322"/>
      <c r="D12" s="385" t="s">
        <v>88</v>
      </c>
      <c r="E12" s="401"/>
      <c r="F12" s="322"/>
      <c r="G12" s="155"/>
      <c r="H12" s="148"/>
      <c r="K12" s="44" t="s">
        <v>406</v>
      </c>
      <c r="L12" s="385" t="s">
        <v>82</v>
      </c>
      <c r="M12" s="322"/>
      <c r="N12" s="155"/>
      <c r="R12" s="11"/>
      <c r="S12" s="35"/>
      <c r="T12" s="18"/>
      <c r="U12" s="148"/>
      <c r="V12" s="148"/>
      <c r="W12" s="148"/>
      <c r="X12" s="148"/>
    </row>
    <row r="13" spans="2:27" ht="18" customHeight="1">
      <c r="B13" s="339"/>
      <c r="C13" s="411"/>
      <c r="D13" s="414"/>
      <c r="E13" s="340"/>
      <c r="F13" s="340"/>
      <c r="G13" s="154"/>
      <c r="H13" s="148"/>
      <c r="K13" s="11"/>
      <c r="L13" s="368"/>
      <c r="M13" s="369"/>
      <c r="N13" s="157"/>
      <c r="R13" s="11"/>
      <c r="S13" s="40"/>
      <c r="T13" s="131"/>
      <c r="U13" s="148"/>
      <c r="V13" s="148"/>
      <c r="W13" s="148"/>
      <c r="X13" s="148"/>
    </row>
    <row r="14" spans="2:27" ht="18" customHeight="1">
      <c r="B14" s="339"/>
      <c r="C14" s="411"/>
      <c r="D14" s="385" t="s">
        <v>81</v>
      </c>
      <c r="E14" s="401"/>
      <c r="F14" s="322"/>
      <c r="G14" s="155"/>
      <c r="H14" s="148"/>
      <c r="K14" s="11"/>
      <c r="L14" s="36" t="s">
        <v>443</v>
      </c>
      <c r="M14" s="36"/>
      <c r="N14" s="155"/>
      <c r="R14" s="45" t="s">
        <v>444</v>
      </c>
      <c r="S14" s="51" t="s">
        <v>91</v>
      </c>
      <c r="T14" s="154"/>
      <c r="U14" s="148"/>
      <c r="V14" s="148"/>
      <c r="W14" s="148"/>
      <c r="X14" s="148"/>
    </row>
    <row r="15" spans="2:27" ht="18" customHeight="1" thickBot="1">
      <c r="B15" s="342"/>
      <c r="C15" s="362"/>
      <c r="D15" s="396"/>
      <c r="E15" s="343"/>
      <c r="F15" s="343"/>
      <c r="G15" s="157"/>
      <c r="H15" s="148"/>
      <c r="K15" s="11"/>
      <c r="L15" s="41" t="s">
        <v>90</v>
      </c>
      <c r="M15" s="40"/>
      <c r="N15" s="154"/>
      <c r="R15" s="42"/>
      <c r="S15" s="41"/>
      <c r="T15" s="154"/>
      <c r="U15" s="148"/>
      <c r="V15" s="148"/>
      <c r="W15" s="148"/>
      <c r="X15" s="148"/>
    </row>
    <row r="16" spans="2:27" ht="18" customHeight="1" thickTop="1">
      <c r="B16" s="321" t="s">
        <v>94</v>
      </c>
      <c r="C16" s="322"/>
      <c r="D16" s="385" t="s">
        <v>95</v>
      </c>
      <c r="E16" s="401"/>
      <c r="F16" s="322"/>
      <c r="G16" s="154"/>
      <c r="H16" s="148"/>
      <c r="K16" s="11"/>
      <c r="L16" s="36" t="s">
        <v>443</v>
      </c>
      <c r="M16" s="12"/>
      <c r="N16" s="158"/>
      <c r="R16" s="11"/>
      <c r="S16" s="35"/>
      <c r="T16" s="99"/>
      <c r="U16" s="148"/>
      <c r="V16" s="148"/>
      <c r="W16" s="148"/>
      <c r="X16" s="148"/>
    </row>
    <row r="17" spans="2:24" ht="18" customHeight="1" thickBot="1">
      <c r="B17" s="339"/>
      <c r="C17" s="411"/>
      <c r="D17" s="396"/>
      <c r="E17" s="343"/>
      <c r="F17" s="362"/>
      <c r="G17" s="154"/>
      <c r="H17" s="148"/>
      <c r="K17" s="11"/>
      <c r="L17" s="41" t="s">
        <v>92</v>
      </c>
      <c r="M17" s="40"/>
      <c r="N17" s="156"/>
      <c r="R17" s="11"/>
      <c r="S17" s="40"/>
      <c r="T17" s="131"/>
      <c r="U17" s="148"/>
      <c r="V17" s="148"/>
      <c r="W17" s="148"/>
      <c r="X17" s="148"/>
    </row>
    <row r="18" spans="2:24" ht="18" customHeight="1" thickTop="1">
      <c r="B18" s="321" t="s">
        <v>442</v>
      </c>
      <c r="C18" s="322"/>
      <c r="D18" s="385" t="s">
        <v>441</v>
      </c>
      <c r="E18" s="401"/>
      <c r="F18" s="322"/>
      <c r="G18" s="155"/>
      <c r="H18" s="148"/>
      <c r="K18" s="11"/>
      <c r="L18" s="36" t="s">
        <v>440</v>
      </c>
      <c r="M18" s="12"/>
      <c r="N18" s="158"/>
      <c r="R18" s="45" t="s">
        <v>111</v>
      </c>
      <c r="S18" s="51" t="s">
        <v>117</v>
      </c>
      <c r="T18" s="155"/>
      <c r="U18" s="148"/>
      <c r="V18" s="148"/>
      <c r="W18" s="148"/>
      <c r="X18" s="148"/>
    </row>
    <row r="19" spans="2:24" ht="18" customHeight="1" thickBot="1">
      <c r="B19" s="339"/>
      <c r="C19" s="411"/>
      <c r="D19" s="396"/>
      <c r="E19" s="343"/>
      <c r="F19" s="362"/>
      <c r="G19" s="154"/>
      <c r="H19" s="148"/>
      <c r="K19" s="11"/>
      <c r="L19" s="41" t="s">
        <v>102</v>
      </c>
      <c r="M19" s="40"/>
      <c r="N19" s="156"/>
      <c r="R19" s="42"/>
      <c r="S19" s="52"/>
      <c r="T19" s="154"/>
      <c r="U19" s="148"/>
      <c r="V19" s="148"/>
      <c r="W19" s="148"/>
      <c r="X19" s="148"/>
    </row>
    <row r="20" spans="2:24" ht="18" customHeight="1" thickTop="1">
      <c r="B20" s="339"/>
      <c r="C20" s="411"/>
      <c r="D20" s="385" t="s">
        <v>118</v>
      </c>
      <c r="E20" s="401"/>
      <c r="F20" s="412"/>
      <c r="G20" s="158"/>
      <c r="H20" s="148"/>
      <c r="K20" s="11"/>
      <c r="L20" s="36" t="s">
        <v>439</v>
      </c>
      <c r="M20" s="12"/>
      <c r="N20" s="158"/>
      <c r="R20" s="11"/>
      <c r="S20" s="35"/>
      <c r="T20" s="99"/>
      <c r="U20" s="148"/>
      <c r="V20" s="148"/>
      <c r="W20" s="148"/>
      <c r="X20" s="148"/>
    </row>
    <row r="21" spans="2:24" ht="18" customHeight="1" thickBot="1">
      <c r="B21" s="342"/>
      <c r="C21" s="362"/>
      <c r="D21" s="396"/>
      <c r="E21" s="343"/>
      <c r="F21" s="413"/>
      <c r="G21" s="156"/>
      <c r="H21" s="148"/>
      <c r="K21" s="46"/>
      <c r="L21" s="41"/>
      <c r="M21" s="40"/>
      <c r="N21" s="156"/>
      <c r="R21" s="11"/>
      <c r="S21" s="40"/>
      <c r="T21" s="163"/>
      <c r="U21" s="148"/>
      <c r="V21" s="148"/>
      <c r="W21" s="148"/>
      <c r="X21" s="148"/>
    </row>
    <row r="22" spans="2:24" ht="18" customHeight="1" thickTop="1">
      <c r="B22" s="321" t="s">
        <v>438</v>
      </c>
      <c r="C22" s="322"/>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408" t="s">
        <v>437</v>
      </c>
      <c r="C23" s="369"/>
      <c r="D23" s="368"/>
      <c r="E23" s="409"/>
      <c r="F23" s="410"/>
      <c r="G23" s="156"/>
      <c r="H23" s="148"/>
      <c r="K23" s="46"/>
      <c r="L23" s="40"/>
      <c r="M23" s="40"/>
      <c r="N23" s="48"/>
      <c r="R23" s="38"/>
      <c r="S23" s="41"/>
      <c r="T23" s="156"/>
      <c r="U23" s="148"/>
      <c r="V23" s="148"/>
      <c r="W23" s="148"/>
      <c r="X23" s="148"/>
    </row>
    <row r="24" spans="2:24" ht="18" customHeight="1" thickTop="1">
      <c r="B24" s="44" t="s">
        <v>436</v>
      </c>
      <c r="C24" s="53"/>
      <c r="D24" s="385" t="s">
        <v>138</v>
      </c>
      <c r="E24" s="401"/>
      <c r="F24" s="401"/>
      <c r="G24" s="161"/>
      <c r="H24" s="148"/>
      <c r="K24" s="44" t="s">
        <v>435</v>
      </c>
      <c r="L24" s="36" t="s">
        <v>115</v>
      </c>
      <c r="M24" s="53"/>
      <c r="N24" s="155"/>
      <c r="R24" s="38"/>
      <c r="S24" s="36" t="s">
        <v>434</v>
      </c>
      <c r="T24" s="158"/>
      <c r="U24" s="148"/>
      <c r="V24" s="148"/>
      <c r="W24" s="148"/>
      <c r="X24" s="148"/>
    </row>
    <row r="25" spans="2:24" ht="18" customHeight="1" thickBot="1">
      <c r="B25" s="11"/>
      <c r="C25" s="13"/>
      <c r="D25" s="396"/>
      <c r="E25" s="343"/>
      <c r="F25" s="343"/>
      <c r="G25" s="160"/>
      <c r="H25" s="148"/>
      <c r="K25" s="11"/>
      <c r="L25" s="41"/>
      <c r="M25" s="13"/>
      <c r="N25" s="154"/>
      <c r="R25" s="38"/>
      <c r="S25" s="41"/>
      <c r="T25" s="156"/>
      <c r="U25" s="148"/>
      <c r="V25" s="148"/>
      <c r="W25" s="148"/>
      <c r="X25" s="148"/>
    </row>
    <row r="26" spans="2:24" ht="18" customHeight="1" thickTop="1">
      <c r="B26" s="45" t="s">
        <v>433</v>
      </c>
      <c r="C26" s="35"/>
      <c r="D26" s="385" t="s">
        <v>12</v>
      </c>
      <c r="E26" s="401"/>
      <c r="F26" s="322"/>
      <c r="G26" s="154"/>
      <c r="H26" s="148"/>
      <c r="K26" s="11"/>
      <c r="L26" s="118" t="s">
        <v>119</v>
      </c>
      <c r="M26" s="122"/>
      <c r="N26" s="158"/>
      <c r="R26" s="44"/>
      <c r="S26" s="35"/>
      <c r="T26" s="99"/>
      <c r="U26" s="148"/>
      <c r="V26" s="148"/>
      <c r="W26" s="148"/>
      <c r="X26" s="148"/>
    </row>
    <row r="27" spans="2:24" ht="18" customHeight="1" thickBot="1">
      <c r="B27" s="11" t="s">
        <v>432</v>
      </c>
      <c r="C27" s="13"/>
      <c r="D27" s="396"/>
      <c r="E27" s="343"/>
      <c r="F27" s="36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407"/>
      <c r="E38" s="407"/>
      <c r="F38" s="407"/>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405" t="s">
        <v>428</v>
      </c>
      <c r="K41" s="406"/>
      <c r="L41" s="406"/>
      <c r="M41" s="406"/>
      <c r="N41" s="406"/>
      <c r="O41" s="406"/>
      <c r="P41" s="142"/>
      <c r="Q41" s="4"/>
      <c r="R41" s="370" t="s">
        <v>148</v>
      </c>
      <c r="S41" s="373"/>
      <c r="T41" s="374"/>
      <c r="V41" s="12"/>
      <c r="W41" s="126"/>
    </row>
    <row r="42" spans="1:24" ht="13.5" customHeight="1">
      <c r="A42" s="140" t="s">
        <v>427</v>
      </c>
      <c r="B42" s="141" t="s">
        <v>426</v>
      </c>
      <c r="C42" s="141" t="s">
        <v>425</v>
      </c>
      <c r="D42" s="138" t="s">
        <v>424</v>
      </c>
      <c r="F42" s="137"/>
      <c r="G42" s="126"/>
      <c r="H42" s="126"/>
      <c r="I42" s="18"/>
      <c r="J42" s="177"/>
      <c r="K42" s="397" t="s">
        <v>1824</v>
      </c>
      <c r="L42" s="397"/>
      <c r="M42" s="397"/>
      <c r="N42" s="397"/>
      <c r="O42" s="397"/>
      <c r="P42" s="397"/>
      <c r="Q42" s="398"/>
      <c r="R42" s="371"/>
      <c r="S42" s="375"/>
      <c r="T42" s="376"/>
      <c r="V42" s="12"/>
      <c r="W42" s="126"/>
    </row>
    <row r="43" spans="1:24" ht="13.5" customHeight="1">
      <c r="A43" s="140" t="s">
        <v>423</v>
      </c>
      <c r="B43" s="141" t="s">
        <v>422</v>
      </c>
      <c r="C43" s="141" t="s">
        <v>421</v>
      </c>
      <c r="D43" s="138" t="s">
        <v>420</v>
      </c>
      <c r="F43" s="137"/>
      <c r="G43" s="126"/>
      <c r="H43" s="126"/>
      <c r="I43" s="18"/>
      <c r="J43" s="177"/>
      <c r="K43" s="397"/>
      <c r="L43" s="397"/>
      <c r="M43" s="397"/>
      <c r="N43" s="397"/>
      <c r="O43" s="397"/>
      <c r="P43" s="397"/>
      <c r="Q43" s="398"/>
      <c r="R43" s="371"/>
      <c r="S43" s="375"/>
      <c r="T43" s="376"/>
      <c r="V43" s="12"/>
      <c r="W43" s="126"/>
    </row>
    <row r="44" spans="1:24" ht="13.5" customHeight="1">
      <c r="A44" s="140" t="s">
        <v>419</v>
      </c>
      <c r="B44" s="141" t="s">
        <v>418</v>
      </c>
      <c r="C44" s="141" t="s">
        <v>417</v>
      </c>
      <c r="D44" s="138" t="s">
        <v>416</v>
      </c>
      <c r="F44" s="137"/>
      <c r="G44" s="126"/>
      <c r="H44" s="126"/>
      <c r="I44" s="18"/>
      <c r="J44" s="177"/>
      <c r="K44" s="397"/>
      <c r="L44" s="397"/>
      <c r="M44" s="397"/>
      <c r="N44" s="397"/>
      <c r="O44" s="397"/>
      <c r="P44" s="397"/>
      <c r="Q44" s="398"/>
      <c r="R44" s="372"/>
      <c r="S44" s="377"/>
      <c r="T44" s="378"/>
      <c r="V44" s="12"/>
      <c r="W44" s="126"/>
    </row>
    <row r="45" spans="1:24" ht="13.5" customHeight="1">
      <c r="A45" s="140" t="s">
        <v>415</v>
      </c>
      <c r="B45" s="139" t="s">
        <v>414</v>
      </c>
      <c r="C45" s="139" t="s">
        <v>413</v>
      </c>
      <c r="D45" s="138" t="s">
        <v>412</v>
      </c>
      <c r="F45" s="137"/>
      <c r="G45" s="126"/>
      <c r="H45" s="126"/>
      <c r="I45" s="18"/>
      <c r="J45" s="177"/>
      <c r="K45" s="397" t="e">
        <f>VLOOKUP(AA2,#REF!,11,0)</f>
        <v>#REF!</v>
      </c>
      <c r="L45" s="397"/>
      <c r="M45" s="397"/>
      <c r="N45" s="397"/>
      <c r="O45" s="397"/>
      <c r="P45" s="397"/>
      <c r="Q45" s="398"/>
      <c r="R45" s="394" t="s">
        <v>152</v>
      </c>
      <c r="S45" s="358" t="s">
        <v>408</v>
      </c>
      <c r="T45" s="136"/>
      <c r="V45" s="12"/>
      <c r="W45" s="126"/>
    </row>
    <row r="46" spans="1:24" ht="13.5" customHeight="1" thickBot="1">
      <c r="A46" s="135" t="s">
        <v>411</v>
      </c>
      <c r="B46" s="134"/>
      <c r="C46" s="133"/>
      <c r="D46" s="132"/>
      <c r="F46" s="402" t="s">
        <v>410</v>
      </c>
      <c r="G46" s="403"/>
      <c r="H46" s="403"/>
      <c r="I46" s="404"/>
      <c r="J46" s="177"/>
      <c r="K46" s="397"/>
      <c r="L46" s="397"/>
      <c r="M46" s="397"/>
      <c r="N46" s="397"/>
      <c r="O46" s="397"/>
      <c r="P46" s="397"/>
      <c r="Q46" s="398"/>
      <c r="R46" s="372"/>
      <c r="S46" s="363"/>
      <c r="T46" s="131"/>
      <c r="V46" s="12"/>
      <c r="W46" s="126"/>
    </row>
    <row r="47" spans="1:24" ht="10.5" customHeight="1">
      <c r="A47" s="176"/>
      <c r="B47" s="176"/>
      <c r="C47" s="176"/>
      <c r="D47" s="176"/>
      <c r="F47" s="388" t="s">
        <v>409</v>
      </c>
      <c r="G47" s="390" t="s">
        <v>259</v>
      </c>
      <c r="H47" s="390"/>
      <c r="I47" s="391"/>
      <c r="J47" s="177"/>
      <c r="K47" s="397"/>
      <c r="L47" s="397"/>
      <c r="M47" s="397"/>
      <c r="N47" s="397"/>
      <c r="O47" s="397"/>
      <c r="P47" s="397"/>
      <c r="Q47" s="398"/>
      <c r="R47" s="394" t="s">
        <v>157</v>
      </c>
      <c r="S47" s="395" t="s">
        <v>455</v>
      </c>
      <c r="T47" s="99"/>
      <c r="V47" s="12"/>
      <c r="W47" s="126"/>
    </row>
    <row r="48" spans="1:24" ht="9.75" customHeight="1">
      <c r="F48" s="389"/>
      <c r="G48" s="392"/>
      <c r="H48" s="392"/>
      <c r="I48" s="393"/>
      <c r="J48" s="177"/>
      <c r="K48" s="397" t="e">
        <f>VLOOKUP(AA2,#REF!,13,0)</f>
        <v>#REF!</v>
      </c>
      <c r="L48" s="397"/>
      <c r="M48" s="397"/>
      <c r="N48" s="397"/>
      <c r="O48" s="397"/>
      <c r="P48" s="397"/>
      <c r="Q48" s="398"/>
      <c r="R48" s="372"/>
      <c r="S48" s="396"/>
      <c r="T48" s="131"/>
      <c r="V48" s="12"/>
      <c r="W48" s="126"/>
    </row>
    <row r="49" spans="6:23" ht="24" customHeight="1" thickBot="1">
      <c r="F49" s="130" t="s">
        <v>261</v>
      </c>
      <c r="G49" s="416" t="s">
        <v>262</v>
      </c>
      <c r="H49" s="417"/>
      <c r="I49" s="418"/>
      <c r="J49" s="178"/>
      <c r="K49" s="399"/>
      <c r="L49" s="399"/>
      <c r="M49" s="399"/>
      <c r="N49" s="399"/>
      <c r="O49" s="399"/>
      <c r="P49" s="399"/>
      <c r="Q49" s="400"/>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2.5">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2.5">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トラクタ、トラック</vt:lpstr>
      <vt:lpstr>台帳リスト</vt:lpstr>
      <vt:lpstr>被けん引車２</vt:lpstr>
      <vt:lpstr>点検日</vt:lpstr>
      <vt:lpstr>Sheet2</vt:lpstr>
      <vt:lpstr>Sheet1</vt:lpstr>
      <vt:lpstr>車両一覧 (20150114)</vt:lpstr>
      <vt:lpstr>before20150113</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2015-01-23T04:56:27Z</cp:lastPrinted>
  <dcterms:created xsi:type="dcterms:W3CDTF">2012-01-17T01:48:40Z</dcterms:created>
  <dcterms:modified xsi:type="dcterms:W3CDTF">2015-01-24T05:03:13Z</dcterms:modified>
</cp:coreProperties>
</file>