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 hidden="1">車両一覧!$A$1:$W$151</definedName>
    <definedName name="_xlnm.Print_Area" localSheetId="3">'トラクタ、トラック'!$A$1:$V$71</definedName>
    <definedName name="_xlnm.Print_Area" localSheetId="0">車両一覧!$A$1:$AK$157</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<sst xmlns="http://schemas.openxmlformats.org/spreadsheetml/2006/main" count="7175" uniqueCount="1891">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</sst>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20">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9" borderId="13"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tabSelected="1" view="pageBreakPreview" zoomScaleNormal="100" zoomScaleSheetLayoutView="100" workbookViewId="0">
      <pane xSplit="4" ySplit="1" topLeftCell="E2" activePane="bottomRight" state="frozen"/>
      <selection pane="topRight" activeCell="E1" sqref="E1"/>
      <selection pane="bottomLeft" activeCell="A2" sqref="A2"/>
      <selection pane="bottomRight" activeCell="E142" sqref="E142"/>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1841</v>
      </c>
      <c r="O1" s="212" t="s">
        <v>1842</v>
      </c>
      <c r="P1" s="210" t="s">
        <v>399</v>
      </c>
      <c r="Q1" s="210" t="s">
        <v>1260</v>
      </c>
      <c r="R1" s="211" t="s">
        <v>1259</v>
      </c>
      <c r="S1" s="210" t="s">
        <v>1244</v>
      </c>
      <c r="T1" s="210" t="s">
        <v>182</v>
      </c>
      <c r="U1" s="210" t="s">
        <v>1262</v>
      </c>
      <c r="V1" s="210" t="s">
        <v>1263</v>
      </c>
      <c r="W1" s="210" t="s">
        <v>1823</v>
      </c>
      <c r="X1" s="210" t="s">
        <v>1255</v>
      </c>
      <c r="Y1" s="212" t="s">
        <v>1156</v>
      </c>
      <c r="Z1" s="210" t="s">
        <v>584</v>
      </c>
      <c r="AA1" s="210" t="s">
        <v>1256</v>
      </c>
      <c r="AB1" s="210" t="s">
        <v>585</v>
      </c>
      <c r="AC1" s="210" t="s">
        <v>306</v>
      </c>
      <c r="AD1" s="210" t="s">
        <v>307</v>
      </c>
      <c r="AE1" s="210" t="s">
        <v>1808</v>
      </c>
      <c r="AF1" s="210" t="s">
        <v>1809</v>
      </c>
      <c r="AG1" s="210" t="s">
        <v>1810</v>
      </c>
      <c r="AH1" s="210" t="s">
        <v>1811</v>
      </c>
      <c r="AI1" s="210" t="s">
        <v>1812</v>
      </c>
      <c r="AJ1" s="210" t="s">
        <v>1813</v>
      </c>
    </row>
    <row r="2" spans="1:36" ht="22.5">
      <c r="A2" s="219">
        <v>4488</v>
      </c>
      <c r="B2" s="219" t="s">
        <v>1288</v>
      </c>
      <c r="C2" s="267" t="s">
        <v>1276</v>
      </c>
      <c r="D2" s="220" t="str">
        <f t="shared" ref="D2:D33" si="0">CONCATENATE(B2,A2)</f>
        <v>横浜100か4488</v>
      </c>
      <c r="E2" s="219" t="s">
        <v>1289</v>
      </c>
      <c r="F2" s="219" t="s">
        <v>1290</v>
      </c>
      <c r="G2" s="219" t="s">
        <v>1843</v>
      </c>
      <c r="H2" s="220" t="s">
        <v>1291</v>
      </c>
      <c r="I2" s="221" t="s">
        <v>1292</v>
      </c>
      <c r="J2" s="221" t="s">
        <v>1293</v>
      </c>
      <c r="K2" s="219" t="s">
        <v>1839</v>
      </c>
      <c r="L2" s="279" t="s">
        <v>162</v>
      </c>
      <c r="M2" s="220" t="s">
        <v>1839</v>
      </c>
      <c r="N2" s="220" t="s">
        <v>1839</v>
      </c>
      <c r="O2" s="222" t="s">
        <v>1839</v>
      </c>
      <c r="P2" s="219" t="s">
        <v>1294</v>
      </c>
      <c r="Q2" s="219" t="s">
        <v>1275</v>
      </c>
      <c r="R2" s="219" t="s">
        <v>1839</v>
      </c>
      <c r="S2" s="219" t="s">
        <v>1250</v>
      </c>
      <c r="T2" s="219" t="s">
        <v>526</v>
      </c>
      <c r="U2" s="220" t="s">
        <v>1839</v>
      </c>
      <c r="V2" s="220" t="s">
        <v>1839</v>
      </c>
      <c r="W2" s="219" t="s">
        <v>1839</v>
      </c>
      <c r="X2" s="219" t="s">
        <v>1839</v>
      </c>
      <c r="Y2" s="222" t="s">
        <v>1839</v>
      </c>
      <c r="Z2" s="219" t="s">
        <v>254</v>
      </c>
      <c r="AA2" s="219" t="s">
        <v>1839</v>
      </c>
      <c r="AB2" s="219" t="s">
        <v>254</v>
      </c>
      <c r="AC2" s="219" t="s">
        <v>527</v>
      </c>
      <c r="AD2" s="219" t="s">
        <v>323</v>
      </c>
      <c r="AE2" s="260" t="s">
        <v>1839</v>
      </c>
      <c r="AF2" s="260">
        <v>594200</v>
      </c>
      <c r="AG2" s="260">
        <v>652800</v>
      </c>
      <c r="AH2" s="260" t="s">
        <v>1839</v>
      </c>
      <c r="AI2" s="260" t="s">
        <v>1839</v>
      </c>
      <c r="AJ2" s="260" t="s">
        <v>1839</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1839</v>
      </c>
      <c r="N3" s="220" t="s">
        <v>1839</v>
      </c>
      <c r="O3" s="278" t="s">
        <v>1839</v>
      </c>
      <c r="P3" s="223" t="s">
        <v>1294</v>
      </c>
      <c r="Q3" s="219" t="s">
        <v>1275</v>
      </c>
      <c r="R3" s="225" t="s">
        <v>1839</v>
      </c>
      <c r="S3" s="219" t="s">
        <v>1250</v>
      </c>
      <c r="T3" s="224" t="s">
        <v>1296</v>
      </c>
      <c r="U3" s="220" t="s">
        <v>1839</v>
      </c>
      <c r="V3" s="220" t="s">
        <v>1839</v>
      </c>
      <c r="W3" s="219" t="s">
        <v>1839</v>
      </c>
      <c r="X3" s="219" t="s">
        <v>1839</v>
      </c>
      <c r="Y3" s="222" t="s">
        <v>1839</v>
      </c>
      <c r="Z3" s="219" t="s">
        <v>254</v>
      </c>
      <c r="AA3" s="219" t="s">
        <v>1839</v>
      </c>
      <c r="AB3" s="219" t="s">
        <v>254</v>
      </c>
      <c r="AC3" s="219" t="s">
        <v>163</v>
      </c>
      <c r="AD3" s="223" t="s">
        <v>323</v>
      </c>
      <c r="AE3" s="260" t="s">
        <v>1839</v>
      </c>
      <c r="AF3" s="260">
        <v>911100</v>
      </c>
      <c r="AG3" s="260">
        <v>943200</v>
      </c>
      <c r="AH3" s="260" t="s">
        <v>1839</v>
      </c>
      <c r="AI3" s="260" t="s">
        <v>1839</v>
      </c>
      <c r="AJ3" s="260" t="s">
        <v>1839</v>
      </c>
    </row>
    <row r="4" spans="1:36">
      <c r="A4" s="219">
        <v>2853</v>
      </c>
      <c r="B4" s="219" t="s">
        <v>1300</v>
      </c>
      <c r="C4" s="267" t="s">
        <v>1276</v>
      </c>
      <c r="D4" s="220" t="str">
        <f t="shared" si="0"/>
        <v>横浜100き2853</v>
      </c>
      <c r="E4" s="219" t="s">
        <v>1301</v>
      </c>
      <c r="F4" s="219" t="s">
        <v>827</v>
      </c>
      <c r="G4" s="219" t="s">
        <v>1843</v>
      </c>
      <c r="H4" s="220" t="s">
        <v>891</v>
      </c>
      <c r="I4" s="219" t="s">
        <v>1302</v>
      </c>
      <c r="J4" s="219" t="s">
        <v>1303</v>
      </c>
      <c r="K4" s="219" t="s">
        <v>179</v>
      </c>
      <c r="L4" s="220" t="s">
        <v>532</v>
      </c>
      <c r="M4" s="220" t="s">
        <v>1844</v>
      </c>
      <c r="N4" s="195">
        <v>42496</v>
      </c>
      <c r="O4" s="226">
        <v>206010</v>
      </c>
      <c r="P4" s="219" t="s">
        <v>1294</v>
      </c>
      <c r="Q4" s="219" t="s">
        <v>1275</v>
      </c>
      <c r="R4" s="219" t="s">
        <v>1839</v>
      </c>
      <c r="S4" s="219" t="s">
        <v>1250</v>
      </c>
      <c r="T4" s="219" t="s">
        <v>179</v>
      </c>
      <c r="U4" s="219" t="s">
        <v>1839</v>
      </c>
      <c r="V4" s="219" t="s">
        <v>1839</v>
      </c>
      <c r="W4" s="219" t="s">
        <v>1839</v>
      </c>
      <c r="X4" s="219" t="s">
        <v>1839</v>
      </c>
      <c r="Y4" s="226" t="s">
        <v>1839</v>
      </c>
      <c r="Z4" s="219" t="s">
        <v>254</v>
      </c>
      <c r="AA4" s="219" t="s">
        <v>1839</v>
      </c>
      <c r="AB4" s="219" t="s">
        <v>254</v>
      </c>
      <c r="AC4" s="219" t="s">
        <v>163</v>
      </c>
      <c r="AD4" s="223" t="s">
        <v>323</v>
      </c>
      <c r="AE4" s="260" t="s">
        <v>1839</v>
      </c>
      <c r="AF4" s="260">
        <v>234900</v>
      </c>
      <c r="AG4" s="260">
        <v>244200</v>
      </c>
      <c r="AH4" s="260" t="s">
        <v>1839</v>
      </c>
      <c r="AI4" s="260" t="s">
        <v>1839</v>
      </c>
      <c r="AJ4" s="260" t="s">
        <v>1839</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1844</v>
      </c>
      <c r="N5" s="195">
        <v>42496</v>
      </c>
      <c r="O5" s="222">
        <v>194250</v>
      </c>
      <c r="P5" s="223" t="s">
        <v>1294</v>
      </c>
      <c r="Q5" s="219" t="s">
        <v>1275</v>
      </c>
      <c r="R5" s="225" t="s">
        <v>1839</v>
      </c>
      <c r="S5" s="219" t="s">
        <v>1250</v>
      </c>
      <c r="T5" s="219" t="s">
        <v>1296</v>
      </c>
      <c r="U5" s="220" t="s">
        <v>1839</v>
      </c>
      <c r="V5" s="220" t="s">
        <v>1839</v>
      </c>
      <c r="W5" s="219" t="s">
        <v>1839</v>
      </c>
      <c r="X5" s="219" t="s">
        <v>1839</v>
      </c>
      <c r="Y5" s="222" t="s">
        <v>1839</v>
      </c>
      <c r="Z5" s="219" t="s">
        <v>254</v>
      </c>
      <c r="AA5" s="219" t="s">
        <v>1839</v>
      </c>
      <c r="AB5" s="219" t="s">
        <v>254</v>
      </c>
      <c r="AC5" s="219" t="s">
        <v>163</v>
      </c>
      <c r="AD5" s="223" t="s">
        <v>323</v>
      </c>
      <c r="AE5" s="260" t="s">
        <v>1839</v>
      </c>
      <c r="AF5" s="260">
        <v>544900</v>
      </c>
      <c r="AG5" s="260">
        <v>561300</v>
      </c>
      <c r="AH5" s="260" t="s">
        <v>1839</v>
      </c>
      <c r="AI5" s="260" t="s">
        <v>1839</v>
      </c>
      <c r="AJ5" s="260" t="s">
        <v>1839</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1839</v>
      </c>
      <c r="L6" s="220" t="s">
        <v>532</v>
      </c>
      <c r="M6" s="219" t="s">
        <v>1845</v>
      </c>
      <c r="N6" s="195" t="s">
        <v>1312</v>
      </c>
      <c r="O6" s="226">
        <v>234360</v>
      </c>
      <c r="P6" s="219" t="s">
        <v>1294</v>
      </c>
      <c r="Q6" s="219" t="s">
        <v>1275</v>
      </c>
      <c r="R6" s="225" t="s">
        <v>1887</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v>200300</v>
      </c>
      <c r="AF6" s="260" t="s">
        <v>1839</v>
      </c>
      <c r="AG6" s="260">
        <v>232200</v>
      </c>
      <c r="AH6" s="260" t="s">
        <v>1839</v>
      </c>
      <c r="AI6" s="260" t="s">
        <v>1839</v>
      </c>
      <c r="AJ6" s="260" t="s">
        <v>1839</v>
      </c>
    </row>
    <row r="7" spans="1:36">
      <c r="A7" s="219">
        <v>3673</v>
      </c>
      <c r="B7" s="219" t="s">
        <v>1300</v>
      </c>
      <c r="C7" s="267" t="s">
        <v>1276</v>
      </c>
      <c r="D7" s="220" t="str">
        <f t="shared" si="0"/>
        <v>横浜100き3673</v>
      </c>
      <c r="E7" s="219" t="s">
        <v>1313</v>
      </c>
      <c r="F7" s="219" t="s">
        <v>827</v>
      </c>
      <c r="G7" s="219" t="s">
        <v>1843</v>
      </c>
      <c r="H7" s="220" t="s">
        <v>537</v>
      </c>
      <c r="I7" s="219" t="s">
        <v>1314</v>
      </c>
      <c r="J7" s="219" t="s">
        <v>1315</v>
      </c>
      <c r="K7" s="219" t="s">
        <v>1839</v>
      </c>
      <c r="L7" s="220" t="s">
        <v>532</v>
      </c>
      <c r="M7" s="219" t="s">
        <v>1846</v>
      </c>
      <c r="N7" s="196">
        <v>42974</v>
      </c>
      <c r="O7" s="226">
        <v>170964</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t="s">
        <v>1839</v>
      </c>
      <c r="AF7" s="260">
        <v>689400</v>
      </c>
      <c r="AG7" s="260">
        <v>760100</v>
      </c>
      <c r="AH7" s="260" t="s">
        <v>1839</v>
      </c>
      <c r="AI7" s="260" t="s">
        <v>1839</v>
      </c>
      <c r="AJ7" s="260" t="s">
        <v>1839</v>
      </c>
    </row>
    <row r="8" spans="1:36" ht="22.5">
      <c r="A8" s="219">
        <v>759</v>
      </c>
      <c r="B8" s="219" t="s">
        <v>1300</v>
      </c>
      <c r="C8" s="267" t="s">
        <v>1276</v>
      </c>
      <c r="D8" s="220" t="str">
        <f t="shared" si="0"/>
        <v>横浜100き759</v>
      </c>
      <c r="E8" s="219" t="s">
        <v>1316</v>
      </c>
      <c r="F8" s="219" t="s">
        <v>1290</v>
      </c>
      <c r="G8" s="219" t="s">
        <v>1843</v>
      </c>
      <c r="H8" s="220" t="s">
        <v>908</v>
      </c>
      <c r="I8" s="221" t="s">
        <v>1317</v>
      </c>
      <c r="J8" s="221" t="s">
        <v>1318</v>
      </c>
      <c r="K8" s="219" t="s">
        <v>1839</v>
      </c>
      <c r="L8" s="280" t="s">
        <v>1840</v>
      </c>
      <c r="M8" s="219" t="s">
        <v>1839</v>
      </c>
      <c r="N8" s="219" t="s">
        <v>1839</v>
      </c>
      <c r="O8" s="226" t="s">
        <v>1839</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96700</v>
      </c>
      <c r="AF8" s="260">
        <v>115700</v>
      </c>
      <c r="AG8" s="260" t="s">
        <v>1839</v>
      </c>
      <c r="AH8" s="260" t="s">
        <v>1839</v>
      </c>
      <c r="AI8" s="260" t="s">
        <v>1839</v>
      </c>
      <c r="AJ8" s="260" t="s">
        <v>1839</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1839</v>
      </c>
      <c r="L9" s="220" t="s">
        <v>532</v>
      </c>
      <c r="M9" s="220" t="s">
        <v>1844</v>
      </c>
      <c r="N9" s="195">
        <v>42709</v>
      </c>
      <c r="O9" s="226">
        <v>132930</v>
      </c>
      <c r="P9" s="219" t="s">
        <v>1294</v>
      </c>
      <c r="Q9" s="219" t="s">
        <v>1275</v>
      </c>
      <c r="R9" s="219" t="s">
        <v>1839</v>
      </c>
      <c r="S9" s="219" t="s">
        <v>1250</v>
      </c>
      <c r="T9" s="219" t="s">
        <v>1839</v>
      </c>
      <c r="U9" s="219" t="s">
        <v>1839</v>
      </c>
      <c r="V9" s="219" t="s">
        <v>1839</v>
      </c>
      <c r="W9" s="219" t="s">
        <v>1839</v>
      </c>
      <c r="X9" s="219" t="s">
        <v>1839</v>
      </c>
      <c r="Y9" s="226" t="s">
        <v>1839</v>
      </c>
      <c r="Z9" s="219" t="s">
        <v>254</v>
      </c>
      <c r="AA9" s="219" t="s">
        <v>1839</v>
      </c>
      <c r="AB9" s="219" t="s">
        <v>254</v>
      </c>
      <c r="AC9" s="219" t="s">
        <v>1839</v>
      </c>
      <c r="AD9" s="219" t="s">
        <v>1839</v>
      </c>
      <c r="AE9" s="260">
        <v>456400</v>
      </c>
      <c r="AF9" s="260">
        <v>585100</v>
      </c>
      <c r="AG9" s="260" t="s">
        <v>1839</v>
      </c>
      <c r="AH9" s="260" t="s">
        <v>1839</v>
      </c>
      <c r="AI9" s="260" t="s">
        <v>1839</v>
      </c>
      <c r="AJ9" s="260" t="s">
        <v>1839</v>
      </c>
    </row>
    <row r="10" spans="1:36" ht="33.75">
      <c r="A10" s="219">
        <v>1713</v>
      </c>
      <c r="B10" s="219" t="s">
        <v>1319</v>
      </c>
      <c r="C10" s="268" t="s">
        <v>1824</v>
      </c>
      <c r="D10" s="220" t="str">
        <f t="shared" si="0"/>
        <v>横浜101あ1713</v>
      </c>
      <c r="E10" s="219" t="s">
        <v>1325</v>
      </c>
      <c r="F10" s="220" t="s">
        <v>917</v>
      </c>
      <c r="G10" s="220" t="s">
        <v>1890</v>
      </c>
      <c r="H10" s="220" t="s">
        <v>919</v>
      </c>
      <c r="I10" s="220" t="s">
        <v>1326</v>
      </c>
      <c r="J10" s="220" t="s">
        <v>1327</v>
      </c>
      <c r="K10" s="220" t="s">
        <v>372</v>
      </c>
      <c r="L10" s="220" t="s">
        <v>532</v>
      </c>
      <c r="M10" s="220" t="s">
        <v>1847</v>
      </c>
      <c r="N10" s="195">
        <v>42183</v>
      </c>
      <c r="O10" s="222">
        <v>38772</v>
      </c>
      <c r="P10" s="223" t="s">
        <v>1294</v>
      </c>
      <c r="Q10" s="219" t="s">
        <v>1275</v>
      </c>
      <c r="R10" s="219"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147900</v>
      </c>
      <c r="AG10" s="260">
        <v>175200</v>
      </c>
      <c r="AH10" s="260" t="s">
        <v>1839</v>
      </c>
      <c r="AI10" s="260" t="s">
        <v>1839</v>
      </c>
      <c r="AJ10" s="260" t="s">
        <v>1839</v>
      </c>
    </row>
    <row r="11" spans="1:36">
      <c r="A11" s="220">
        <v>2063</v>
      </c>
      <c r="B11" s="224" t="s">
        <v>1319</v>
      </c>
      <c r="C11" s="268" t="s">
        <v>1825</v>
      </c>
      <c r="D11" s="220" t="str">
        <f t="shared" si="0"/>
        <v>横浜101あ2063</v>
      </c>
      <c r="E11" s="219" t="s">
        <v>1328</v>
      </c>
      <c r="F11" s="220" t="s">
        <v>917</v>
      </c>
      <c r="G11" s="220" t="s">
        <v>1890</v>
      </c>
      <c r="H11" s="220" t="s">
        <v>1329</v>
      </c>
      <c r="I11" s="220" t="s">
        <v>1326</v>
      </c>
      <c r="J11" s="220" t="s">
        <v>1330</v>
      </c>
      <c r="K11" s="220" t="s">
        <v>372</v>
      </c>
      <c r="L11" s="220" t="s">
        <v>532</v>
      </c>
      <c r="M11" s="220" t="s">
        <v>1847</v>
      </c>
      <c r="N11" s="195">
        <v>42183</v>
      </c>
      <c r="O11" s="222">
        <v>37695</v>
      </c>
      <c r="P11" s="223" t="s">
        <v>1294</v>
      </c>
      <c r="Q11" s="219" t="s">
        <v>1275</v>
      </c>
      <c r="R11" s="225" t="s">
        <v>1839</v>
      </c>
      <c r="S11" s="219" t="s">
        <v>1250</v>
      </c>
      <c r="T11" s="219" t="s">
        <v>1324</v>
      </c>
      <c r="U11" s="220" t="s">
        <v>1839</v>
      </c>
      <c r="V11" s="220" t="s">
        <v>1839</v>
      </c>
      <c r="W11" s="219" t="s">
        <v>1839</v>
      </c>
      <c r="X11" s="219" t="s">
        <v>1839</v>
      </c>
      <c r="Y11" s="222" t="s">
        <v>1839</v>
      </c>
      <c r="Z11" s="219" t="s">
        <v>254</v>
      </c>
      <c r="AA11" s="219" t="s">
        <v>1839</v>
      </c>
      <c r="AB11" s="219" t="s">
        <v>254</v>
      </c>
      <c r="AC11" s="219" t="s">
        <v>163</v>
      </c>
      <c r="AD11" s="223" t="s">
        <v>323</v>
      </c>
      <c r="AE11" s="260" t="s">
        <v>1839</v>
      </c>
      <c r="AF11" s="260">
        <v>162100</v>
      </c>
      <c r="AG11" s="260">
        <v>203300</v>
      </c>
      <c r="AH11" s="260" t="s">
        <v>1839</v>
      </c>
      <c r="AI11" s="260" t="s">
        <v>1839</v>
      </c>
      <c r="AJ11" s="260" t="s">
        <v>1839</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1839</v>
      </c>
      <c r="L12" s="220" t="s">
        <v>532</v>
      </c>
      <c r="M12" s="219" t="s">
        <v>1846</v>
      </c>
      <c r="N12" s="196">
        <v>42974</v>
      </c>
      <c r="O12" s="226">
        <v>122472</v>
      </c>
      <c r="P12" s="219" t="s">
        <v>1294</v>
      </c>
      <c r="Q12" s="219" t="s">
        <v>1275</v>
      </c>
      <c r="R12" s="219" t="s">
        <v>1839</v>
      </c>
      <c r="S12" s="219" t="s">
        <v>1250</v>
      </c>
      <c r="T12" s="219" t="s">
        <v>1839</v>
      </c>
      <c r="U12" s="219" t="s">
        <v>1839</v>
      </c>
      <c r="V12" s="219" t="s">
        <v>1839</v>
      </c>
      <c r="W12" s="219" t="s">
        <v>1839</v>
      </c>
      <c r="X12" s="219" t="s">
        <v>1839</v>
      </c>
      <c r="Y12" s="226" t="s">
        <v>1839</v>
      </c>
      <c r="Z12" s="219" t="s">
        <v>254</v>
      </c>
      <c r="AA12" s="219" t="s">
        <v>1839</v>
      </c>
      <c r="AB12" s="219" t="s">
        <v>254</v>
      </c>
      <c r="AC12" s="219" t="s">
        <v>1839</v>
      </c>
      <c r="AD12" s="219" t="s">
        <v>1839</v>
      </c>
      <c r="AE12" s="260" t="s">
        <v>1839</v>
      </c>
      <c r="AF12" s="260">
        <v>324000</v>
      </c>
      <c r="AG12" s="260">
        <v>342500</v>
      </c>
      <c r="AH12" s="260" t="s">
        <v>1839</v>
      </c>
      <c r="AI12" s="260" t="s">
        <v>1839</v>
      </c>
      <c r="AJ12" s="260" t="s">
        <v>1839</v>
      </c>
    </row>
    <row r="13" spans="1:36">
      <c r="A13" s="220">
        <v>3351</v>
      </c>
      <c r="B13" s="220" t="s">
        <v>1239</v>
      </c>
      <c r="C13" s="267" t="s">
        <v>1832</v>
      </c>
      <c r="D13" s="220" t="str">
        <f t="shared" si="0"/>
        <v>横浜303は3351</v>
      </c>
      <c r="E13" s="220" t="s">
        <v>1206</v>
      </c>
      <c r="F13" s="220" t="s">
        <v>1207</v>
      </c>
      <c r="G13" s="220" t="s">
        <v>1401</v>
      </c>
      <c r="H13" s="220" t="s">
        <v>1208</v>
      </c>
      <c r="I13" s="219" t="s">
        <v>1839</v>
      </c>
      <c r="J13" s="219" t="s">
        <v>1839</v>
      </c>
      <c r="K13" s="220" t="s">
        <v>1134</v>
      </c>
      <c r="L13" s="220" t="s">
        <v>1210</v>
      </c>
      <c r="M13" s="220" t="s">
        <v>1210</v>
      </c>
      <c r="N13" s="219" t="s">
        <v>1839</v>
      </c>
      <c r="O13" s="234" t="s">
        <v>1839</v>
      </c>
      <c r="P13" s="220" t="s">
        <v>400</v>
      </c>
      <c r="Q13" s="219" t="s">
        <v>1839</v>
      </c>
      <c r="R13" s="219" t="s">
        <v>1839</v>
      </c>
      <c r="S13" s="219" t="s">
        <v>1253</v>
      </c>
      <c r="T13" s="220" t="s">
        <v>1839</v>
      </c>
      <c r="U13" s="219" t="s">
        <v>1839</v>
      </c>
      <c r="V13" s="219" t="s">
        <v>1839</v>
      </c>
      <c r="W13" s="219" t="s">
        <v>1839</v>
      </c>
      <c r="X13" s="219" t="s">
        <v>1839</v>
      </c>
      <c r="Y13" s="235" t="s">
        <v>1209</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1855</v>
      </c>
      <c r="B14" s="220" t="s">
        <v>1231</v>
      </c>
      <c r="C14" s="267" t="s">
        <v>1832</v>
      </c>
      <c r="D14" s="220" t="str">
        <f t="shared" si="0"/>
        <v>横浜502な1855</v>
      </c>
      <c r="E14" s="220" t="s">
        <v>1157</v>
      </c>
      <c r="F14" s="220" t="s">
        <v>1158</v>
      </c>
      <c r="G14" s="220" t="s">
        <v>1398</v>
      </c>
      <c r="H14" s="220" t="s">
        <v>1159</v>
      </c>
      <c r="I14" s="219" t="s">
        <v>1839</v>
      </c>
      <c r="J14" s="219" t="s">
        <v>1839</v>
      </c>
      <c r="K14" s="220" t="s">
        <v>1134</v>
      </c>
      <c r="L14" s="220" t="s">
        <v>1161</v>
      </c>
      <c r="M14" s="220" t="s">
        <v>1161</v>
      </c>
      <c r="N14" s="219" t="s">
        <v>1839</v>
      </c>
      <c r="O14" s="234" t="s">
        <v>1839</v>
      </c>
      <c r="P14" s="220" t="s">
        <v>402</v>
      </c>
      <c r="Q14" s="219" t="s">
        <v>1839</v>
      </c>
      <c r="R14" s="219" t="s">
        <v>1839</v>
      </c>
      <c r="S14" s="219" t="s">
        <v>1253</v>
      </c>
      <c r="T14" s="220" t="s">
        <v>1839</v>
      </c>
      <c r="U14" s="219" t="s">
        <v>1839</v>
      </c>
      <c r="V14" s="219" t="s">
        <v>1839</v>
      </c>
      <c r="W14" s="219" t="s">
        <v>1839</v>
      </c>
      <c r="X14" s="219" t="s">
        <v>1839</v>
      </c>
      <c r="Y14" s="235" t="s">
        <v>1160</v>
      </c>
      <c r="Z14" s="219" t="s">
        <v>1839</v>
      </c>
      <c r="AA14" s="219" t="s">
        <v>1806</v>
      </c>
      <c r="AB14" s="219" t="s">
        <v>254</v>
      </c>
      <c r="AC14" s="219" t="s">
        <v>1839</v>
      </c>
      <c r="AD14" s="219" t="s">
        <v>1839</v>
      </c>
      <c r="AE14" s="260" t="s">
        <v>1839</v>
      </c>
      <c r="AF14" s="260" t="s">
        <v>1839</v>
      </c>
      <c r="AG14" s="260" t="s">
        <v>1839</v>
      </c>
      <c r="AH14" s="260" t="s">
        <v>1839</v>
      </c>
      <c r="AI14" s="260" t="s">
        <v>1839</v>
      </c>
      <c r="AJ14" s="260" t="s">
        <v>1839</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1839</v>
      </c>
      <c r="N15" s="220" t="s">
        <v>1839</v>
      </c>
      <c r="O15" s="222" t="s">
        <v>1839</v>
      </c>
      <c r="P15" s="223" t="s">
        <v>1294</v>
      </c>
      <c r="Q15" s="219" t="s">
        <v>1275</v>
      </c>
      <c r="R15" s="225" t="s">
        <v>1839</v>
      </c>
      <c r="S15" s="219" t="s">
        <v>1247</v>
      </c>
      <c r="T15" s="224" t="s">
        <v>1337</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442900</v>
      </c>
      <c r="AG15" s="260">
        <v>467600</v>
      </c>
      <c r="AH15" s="260" t="s">
        <v>1839</v>
      </c>
      <c r="AI15" s="260" t="s">
        <v>1839</v>
      </c>
      <c r="AJ15" s="260" t="s">
        <v>1839</v>
      </c>
    </row>
    <row r="16" spans="1:36">
      <c r="A16" s="220">
        <v>2168</v>
      </c>
      <c r="B16" s="220" t="s">
        <v>1341</v>
      </c>
      <c r="C16" s="267" t="s">
        <v>1276</v>
      </c>
      <c r="D16" s="220" t="str">
        <f t="shared" si="0"/>
        <v>岐阜11い2168</v>
      </c>
      <c r="E16" s="220" t="s">
        <v>1343</v>
      </c>
      <c r="F16" s="228" t="s">
        <v>753</v>
      </c>
      <c r="G16" s="219" t="s">
        <v>1890</v>
      </c>
      <c r="H16" s="220" t="s">
        <v>755</v>
      </c>
      <c r="I16" s="219" t="s">
        <v>1344</v>
      </c>
      <c r="J16" s="219" t="s">
        <v>1303</v>
      </c>
      <c r="K16" s="219" t="s">
        <v>319</v>
      </c>
      <c r="L16" s="279" t="s">
        <v>162</v>
      </c>
      <c r="M16" s="220" t="s">
        <v>1839</v>
      </c>
      <c r="N16" s="220" t="s">
        <v>1839</v>
      </c>
      <c r="O16" s="222" t="s">
        <v>1839</v>
      </c>
      <c r="P16" s="223" t="s">
        <v>1294</v>
      </c>
      <c r="Q16" s="219" t="s">
        <v>1345</v>
      </c>
      <c r="R16" s="225" t="s">
        <v>1839</v>
      </c>
      <c r="S16" s="219" t="s">
        <v>1247</v>
      </c>
      <c r="T16" s="224" t="s">
        <v>1342</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572500</v>
      </c>
      <c r="AG16" s="260">
        <v>604900</v>
      </c>
      <c r="AH16" s="260" t="s">
        <v>1839</v>
      </c>
      <c r="AI16" s="260" t="s">
        <v>1839</v>
      </c>
      <c r="AJ16" s="260" t="s">
        <v>1839</v>
      </c>
    </row>
    <row r="17" spans="1:36">
      <c r="A17" s="220">
        <v>3762</v>
      </c>
      <c r="B17" s="220" t="s">
        <v>1341</v>
      </c>
      <c r="C17" s="267" t="s">
        <v>1276</v>
      </c>
      <c r="D17" s="220" t="str">
        <f t="shared" si="0"/>
        <v>岐阜11い3762</v>
      </c>
      <c r="E17" s="220" t="s">
        <v>1347</v>
      </c>
      <c r="F17" s="228" t="s">
        <v>768</v>
      </c>
      <c r="G17" s="219" t="s">
        <v>1890</v>
      </c>
      <c r="H17" s="220" t="s">
        <v>769</v>
      </c>
      <c r="I17" s="219" t="s">
        <v>1349</v>
      </c>
      <c r="J17" s="219" t="s">
        <v>1350</v>
      </c>
      <c r="K17" s="219" t="s">
        <v>1348</v>
      </c>
      <c r="L17" s="279" t="s">
        <v>162</v>
      </c>
      <c r="M17" s="220" t="s">
        <v>1839</v>
      </c>
      <c r="N17" s="220" t="s">
        <v>1839</v>
      </c>
      <c r="O17" s="222" t="s">
        <v>1839</v>
      </c>
      <c r="P17" s="223" t="s">
        <v>1294</v>
      </c>
      <c r="Q17" s="219" t="s">
        <v>1345</v>
      </c>
      <c r="R17" s="225" t="s">
        <v>1839</v>
      </c>
      <c r="S17" s="219" t="s">
        <v>1247</v>
      </c>
      <c r="T17" s="224" t="s">
        <v>1346</v>
      </c>
      <c r="U17" s="220" t="s">
        <v>1839</v>
      </c>
      <c r="V17" s="220" t="s">
        <v>1839</v>
      </c>
      <c r="W17" s="219" t="s">
        <v>1839</v>
      </c>
      <c r="X17" s="219" t="s">
        <v>1839</v>
      </c>
      <c r="Y17" s="222" t="s">
        <v>1839</v>
      </c>
      <c r="Z17" s="219" t="s">
        <v>254</v>
      </c>
      <c r="AA17" s="219" t="s">
        <v>1839</v>
      </c>
      <c r="AB17" s="219" t="s">
        <v>254</v>
      </c>
      <c r="AC17" s="219" t="s">
        <v>163</v>
      </c>
      <c r="AD17" s="223" t="s">
        <v>323</v>
      </c>
      <c r="AE17" s="260" t="s">
        <v>1839</v>
      </c>
      <c r="AF17" s="260">
        <v>292600</v>
      </c>
      <c r="AG17" s="260">
        <v>3000</v>
      </c>
      <c r="AH17" s="260" t="s">
        <v>1839</v>
      </c>
      <c r="AI17" s="260" t="s">
        <v>1839</v>
      </c>
      <c r="AJ17" s="260" t="s">
        <v>1839</v>
      </c>
    </row>
    <row r="18" spans="1:36" ht="22.5">
      <c r="A18" s="214">
        <v>2493</v>
      </c>
      <c r="B18" s="214" t="s">
        <v>1268</v>
      </c>
      <c r="C18" s="217" t="s">
        <v>1836</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1839</v>
      </c>
      <c r="O18" s="218" t="s">
        <v>1839</v>
      </c>
      <c r="P18" s="216" t="s">
        <v>1274</v>
      </c>
      <c r="Q18" s="214" t="s">
        <v>1275</v>
      </c>
      <c r="R18" s="217" t="s">
        <v>1839</v>
      </c>
      <c r="S18" s="214" t="s">
        <v>1257</v>
      </c>
      <c r="T18" s="214" t="s">
        <v>1269</v>
      </c>
      <c r="U18" s="214" t="s">
        <v>1839</v>
      </c>
      <c r="V18" s="214" t="s">
        <v>1839</v>
      </c>
      <c r="W18" s="214" t="s">
        <v>1839</v>
      </c>
      <c r="X18" s="214" t="s">
        <v>1839</v>
      </c>
      <c r="Y18" s="281" t="s">
        <v>1848</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ht="22.5">
      <c r="A19" s="214">
        <v>2497</v>
      </c>
      <c r="B19" s="214" t="s">
        <v>1268</v>
      </c>
      <c r="C19" s="214" t="s">
        <v>1835</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1839</v>
      </c>
      <c r="O19" s="218" t="s">
        <v>1839</v>
      </c>
      <c r="P19" s="216" t="s">
        <v>1274</v>
      </c>
      <c r="Q19" s="214" t="s">
        <v>1275</v>
      </c>
      <c r="R19" s="214" t="s">
        <v>767</v>
      </c>
      <c r="S19" s="214" t="s">
        <v>1257</v>
      </c>
      <c r="T19" s="214" t="s">
        <v>1277</v>
      </c>
      <c r="U19" s="214" t="s">
        <v>1839</v>
      </c>
      <c r="V19" s="214" t="s">
        <v>1839</v>
      </c>
      <c r="W19" s="214" t="s">
        <v>1839</v>
      </c>
      <c r="X19" s="214" t="s">
        <v>1839</v>
      </c>
      <c r="Y19" s="281" t="s">
        <v>1849</v>
      </c>
      <c r="Z19" s="214" t="s">
        <v>254</v>
      </c>
      <c r="AA19" s="214" t="s">
        <v>1839</v>
      </c>
      <c r="AB19" s="214" t="s">
        <v>254</v>
      </c>
      <c r="AC19" s="214" t="s">
        <v>163</v>
      </c>
      <c r="AD19" s="216" t="s">
        <v>323</v>
      </c>
      <c r="AE19" s="214" t="s">
        <v>1839</v>
      </c>
      <c r="AF19" s="214" t="s">
        <v>1839</v>
      </c>
      <c r="AG19" s="214" t="s">
        <v>1839</v>
      </c>
      <c r="AH19" s="214" t="s">
        <v>1839</v>
      </c>
      <c r="AI19" s="214" t="s">
        <v>1839</v>
      </c>
      <c r="AJ19" s="214" t="s">
        <v>1839</v>
      </c>
    </row>
    <row r="20" spans="1:36">
      <c r="A20" s="220">
        <v>259</v>
      </c>
      <c r="B20" s="220" t="s">
        <v>581</v>
      </c>
      <c r="C20" s="267" t="s">
        <v>1832</v>
      </c>
      <c r="D20" s="220" t="str">
        <f t="shared" si="0"/>
        <v>岐阜900さ259</v>
      </c>
      <c r="E20" s="219" t="s">
        <v>370</v>
      </c>
      <c r="F20" s="220" t="s">
        <v>1534</v>
      </c>
      <c r="G20" s="220" t="s">
        <v>1532</v>
      </c>
      <c r="H20" s="220" t="s">
        <v>1535</v>
      </c>
      <c r="I20" s="220" t="s">
        <v>1839</v>
      </c>
      <c r="J20" s="220" t="s">
        <v>1839</v>
      </c>
      <c r="K20" s="220" t="s">
        <v>1850</v>
      </c>
      <c r="L20" s="280" t="s">
        <v>1840</v>
      </c>
      <c r="M20" s="220" t="s">
        <v>1839</v>
      </c>
      <c r="N20" s="220" t="s">
        <v>1839</v>
      </c>
      <c r="O20" s="222" t="s">
        <v>1839</v>
      </c>
      <c r="P20" s="223" t="s">
        <v>403</v>
      </c>
      <c r="Q20" s="219" t="s">
        <v>401</v>
      </c>
      <c r="R20" s="225" t="s">
        <v>1839</v>
      </c>
      <c r="S20" s="219" t="s">
        <v>1851</v>
      </c>
      <c r="T20" s="219" t="s">
        <v>1533</v>
      </c>
      <c r="U20" s="220" t="s">
        <v>1839</v>
      </c>
      <c r="V20" s="220" t="s">
        <v>1839</v>
      </c>
      <c r="W20" s="219" t="s">
        <v>1839</v>
      </c>
      <c r="X20" s="219" t="s">
        <v>1839</v>
      </c>
      <c r="Y20" s="222" t="s">
        <v>1839</v>
      </c>
      <c r="Z20" s="219" t="s">
        <v>254</v>
      </c>
      <c r="AA20" s="219" t="s">
        <v>1839</v>
      </c>
      <c r="AB20" s="219" t="s">
        <v>254</v>
      </c>
      <c r="AC20" s="219" t="s">
        <v>163</v>
      </c>
      <c r="AD20" s="223" t="s">
        <v>323</v>
      </c>
      <c r="AE20" s="260">
        <v>71200</v>
      </c>
      <c r="AF20" s="260" t="s">
        <v>1839</v>
      </c>
      <c r="AG20" s="260">
        <v>82600</v>
      </c>
      <c r="AH20" s="260" t="s">
        <v>1839</v>
      </c>
      <c r="AI20" s="260" t="s">
        <v>1839</v>
      </c>
      <c r="AJ20" s="260" t="s">
        <v>1839</v>
      </c>
    </row>
    <row r="21" spans="1:36">
      <c r="A21" s="219">
        <v>3336</v>
      </c>
      <c r="B21" s="219" t="s">
        <v>1403</v>
      </c>
      <c r="C21" s="267" t="s">
        <v>1276</v>
      </c>
      <c r="D21" s="220" t="str">
        <f t="shared" si="0"/>
        <v>宮城100い3336</v>
      </c>
      <c r="E21" s="219" t="s">
        <v>1278</v>
      </c>
      <c r="F21" s="219" t="s">
        <v>832</v>
      </c>
      <c r="G21" s="220" t="s">
        <v>1843</v>
      </c>
      <c r="H21" s="220" t="s">
        <v>833</v>
      </c>
      <c r="I21" s="220" t="s">
        <v>1405</v>
      </c>
      <c r="J21" s="220" t="s">
        <v>1361</v>
      </c>
      <c r="K21" s="220" t="s">
        <v>378</v>
      </c>
      <c r="L21" s="220" t="s">
        <v>532</v>
      </c>
      <c r="M21" s="220" t="s">
        <v>1847</v>
      </c>
      <c r="N21" s="195">
        <v>42270</v>
      </c>
      <c r="O21" s="222">
        <v>70560</v>
      </c>
      <c r="P21" s="223" t="s">
        <v>1294</v>
      </c>
      <c r="Q21" s="219" t="s">
        <v>1275</v>
      </c>
      <c r="R21" s="219" t="s">
        <v>1839</v>
      </c>
      <c r="S21" s="219" t="s">
        <v>1249</v>
      </c>
      <c r="T21" s="219" t="s">
        <v>1404</v>
      </c>
      <c r="U21" s="220" t="s">
        <v>1839</v>
      </c>
      <c r="V21" s="220" t="s">
        <v>1839</v>
      </c>
      <c r="W21" s="219" t="s">
        <v>1839</v>
      </c>
      <c r="X21" s="219" t="s">
        <v>1839</v>
      </c>
      <c r="Y21" s="222" t="s">
        <v>1839</v>
      </c>
      <c r="Z21" s="219" t="s">
        <v>254</v>
      </c>
      <c r="AA21" s="219" t="s">
        <v>1839</v>
      </c>
      <c r="AB21" s="219" t="s">
        <v>254</v>
      </c>
      <c r="AC21" s="219" t="s">
        <v>528</v>
      </c>
      <c r="AD21" s="223" t="s">
        <v>323</v>
      </c>
      <c r="AE21" s="260">
        <v>369600</v>
      </c>
      <c r="AF21" s="260">
        <v>477600</v>
      </c>
      <c r="AG21" s="260" t="s">
        <v>1839</v>
      </c>
      <c r="AH21" s="260" t="s">
        <v>1839</v>
      </c>
      <c r="AI21" s="260" t="s">
        <v>1839</v>
      </c>
      <c r="AJ21" s="260" t="s">
        <v>1839</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1839</v>
      </c>
      <c r="N22" s="220" t="s">
        <v>1839</v>
      </c>
      <c r="O22" s="222" t="s">
        <v>1839</v>
      </c>
      <c r="P22" s="223" t="s">
        <v>1294</v>
      </c>
      <c r="Q22" s="219" t="s">
        <v>1275</v>
      </c>
      <c r="R22" s="225" t="s">
        <v>1839</v>
      </c>
      <c r="S22" s="219" t="s">
        <v>1249</v>
      </c>
      <c r="T22" s="219" t="s">
        <v>1296</v>
      </c>
      <c r="U22" s="220" t="s">
        <v>1839</v>
      </c>
      <c r="V22" s="220" t="s">
        <v>1839</v>
      </c>
      <c r="W22" s="219" t="s">
        <v>1839</v>
      </c>
      <c r="X22" s="219" t="s">
        <v>1839</v>
      </c>
      <c r="Y22" s="222" t="s">
        <v>1839</v>
      </c>
      <c r="Z22" s="219" t="s">
        <v>254</v>
      </c>
      <c r="AA22" s="219" t="s">
        <v>1839</v>
      </c>
      <c r="AB22" s="219" t="s">
        <v>254</v>
      </c>
      <c r="AC22" s="219" t="s">
        <v>163</v>
      </c>
      <c r="AD22" s="223" t="s">
        <v>323</v>
      </c>
      <c r="AE22" s="260">
        <v>545000</v>
      </c>
      <c r="AF22" s="260">
        <v>649600</v>
      </c>
      <c r="AG22" s="260">
        <v>775600</v>
      </c>
      <c r="AH22" s="260" t="s">
        <v>1839</v>
      </c>
      <c r="AI22" s="260" t="s">
        <v>1839</v>
      </c>
      <c r="AJ22" s="260" t="s">
        <v>1839</v>
      </c>
    </row>
    <row r="23" spans="1:36" ht="22.5">
      <c r="A23" s="219">
        <v>5370</v>
      </c>
      <c r="B23" s="219" t="s">
        <v>1406</v>
      </c>
      <c r="C23" s="267" t="s">
        <v>1276</v>
      </c>
      <c r="D23" s="220" t="str">
        <f t="shared" si="0"/>
        <v>宮城100き5370</v>
      </c>
      <c r="E23" s="224" t="s">
        <v>1409</v>
      </c>
      <c r="F23" s="224" t="s">
        <v>664</v>
      </c>
      <c r="G23" s="224" t="s">
        <v>1843</v>
      </c>
      <c r="H23" s="223" t="s">
        <v>840</v>
      </c>
      <c r="I23" s="232" t="s">
        <v>1410</v>
      </c>
      <c r="J23" s="232" t="s">
        <v>1411</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323</v>
      </c>
      <c r="AE23" s="260">
        <v>645500</v>
      </c>
      <c r="AF23" s="260">
        <v>755100</v>
      </c>
      <c r="AG23" s="260" t="s">
        <v>1839</v>
      </c>
      <c r="AH23" s="260" t="s">
        <v>1839</v>
      </c>
      <c r="AI23" s="260" t="s">
        <v>1839</v>
      </c>
      <c r="AJ23" s="260" t="s">
        <v>1839</v>
      </c>
    </row>
    <row r="24" spans="1:36" ht="22.5">
      <c r="A24" s="219">
        <v>5885</v>
      </c>
      <c r="B24" s="219" t="s">
        <v>1406</v>
      </c>
      <c r="C24" s="267" t="s">
        <v>1276</v>
      </c>
      <c r="D24" s="220" t="str">
        <f t="shared" si="0"/>
        <v>宮城100き5885</v>
      </c>
      <c r="E24" s="224" t="s">
        <v>1372</v>
      </c>
      <c r="F24" s="224" t="s">
        <v>664</v>
      </c>
      <c r="G24" s="224" t="s">
        <v>1843</v>
      </c>
      <c r="H24" s="223" t="s">
        <v>850</v>
      </c>
      <c r="I24" s="232" t="s">
        <v>1383</v>
      </c>
      <c r="J24" s="232" t="s">
        <v>1384</v>
      </c>
      <c r="K24" s="223" t="s">
        <v>170</v>
      </c>
      <c r="L24" s="279" t="s">
        <v>162</v>
      </c>
      <c r="M24" s="220" t="s">
        <v>1839</v>
      </c>
      <c r="N24" s="220" t="s">
        <v>1839</v>
      </c>
      <c r="O24" s="222" t="s">
        <v>1839</v>
      </c>
      <c r="P24" s="223" t="s">
        <v>1294</v>
      </c>
      <c r="Q24" s="219" t="s">
        <v>1275</v>
      </c>
      <c r="R24" s="225" t="s">
        <v>405</v>
      </c>
      <c r="S24" s="219" t="s">
        <v>1249</v>
      </c>
      <c r="T24" s="224" t="s">
        <v>1382</v>
      </c>
      <c r="U24" s="220" t="s">
        <v>1839</v>
      </c>
      <c r="V24" s="220" t="s">
        <v>1839</v>
      </c>
      <c r="W24" s="219" t="s">
        <v>1839</v>
      </c>
      <c r="X24" s="219" t="s">
        <v>1839</v>
      </c>
      <c r="Y24" s="222" t="s">
        <v>1839</v>
      </c>
      <c r="Z24" s="219" t="s">
        <v>254</v>
      </c>
      <c r="AA24" s="219" t="s">
        <v>1839</v>
      </c>
      <c r="AB24" s="219" t="s">
        <v>254</v>
      </c>
      <c r="AC24" s="219" t="s">
        <v>528</v>
      </c>
      <c r="AD24" s="223" t="s">
        <v>1387</v>
      </c>
      <c r="AE24" s="260" t="s">
        <v>1839</v>
      </c>
      <c r="AF24" s="260">
        <v>389000</v>
      </c>
      <c r="AG24" s="260">
        <v>520000</v>
      </c>
      <c r="AH24" s="260" t="s">
        <v>1839</v>
      </c>
      <c r="AI24" s="260" t="s">
        <v>1839</v>
      </c>
      <c r="AJ24" s="260" t="s">
        <v>1839</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1839</v>
      </c>
      <c r="L25" s="280" t="s">
        <v>1840</v>
      </c>
      <c r="M25" s="219" t="s">
        <v>1839</v>
      </c>
      <c r="N25" s="219" t="s">
        <v>1839</v>
      </c>
      <c r="O25" s="226" t="s">
        <v>1839</v>
      </c>
      <c r="P25" s="219" t="s">
        <v>1294</v>
      </c>
      <c r="Q25" s="219" t="s">
        <v>1275</v>
      </c>
      <c r="R25" s="219" t="s">
        <v>1415</v>
      </c>
      <c r="S25" s="219" t="s">
        <v>1888</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373400</v>
      </c>
      <c r="AG25" s="260">
        <v>429100</v>
      </c>
      <c r="AH25" s="260" t="s">
        <v>1839</v>
      </c>
      <c r="AI25" s="260" t="s">
        <v>1839</v>
      </c>
      <c r="AJ25" s="260" t="s">
        <v>1839</v>
      </c>
    </row>
    <row r="26" spans="1:36">
      <c r="A26" s="219">
        <v>6409</v>
      </c>
      <c r="B26" s="219" t="s">
        <v>1406</v>
      </c>
      <c r="C26" s="267" t="s">
        <v>1276</v>
      </c>
      <c r="D26" s="220" t="str">
        <f t="shared" si="0"/>
        <v>宮城100き6409</v>
      </c>
      <c r="E26" s="219" t="s">
        <v>1416</v>
      </c>
      <c r="F26" s="219" t="s">
        <v>1417</v>
      </c>
      <c r="G26" s="219" t="s">
        <v>1843</v>
      </c>
      <c r="H26" s="220" t="s">
        <v>534</v>
      </c>
      <c r="I26" s="219" t="s">
        <v>1418</v>
      </c>
      <c r="J26" s="219" t="s">
        <v>1419</v>
      </c>
      <c r="K26" s="219" t="s">
        <v>1839</v>
      </c>
      <c r="L26" s="280" t="s">
        <v>1840</v>
      </c>
      <c r="M26" s="219" t="s">
        <v>1839</v>
      </c>
      <c r="N26" s="219" t="s">
        <v>1839</v>
      </c>
      <c r="O26" s="226" t="s">
        <v>1839</v>
      </c>
      <c r="P26" s="219" t="s">
        <v>1294</v>
      </c>
      <c r="Q26" s="219" t="s">
        <v>1275</v>
      </c>
      <c r="R26" s="219" t="s">
        <v>1420</v>
      </c>
      <c r="S26" s="219" t="s">
        <v>1889</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759300</v>
      </c>
      <c r="AG26" s="260">
        <v>804700</v>
      </c>
      <c r="AH26" s="260" t="s">
        <v>1839</v>
      </c>
      <c r="AI26" s="260" t="s">
        <v>1839</v>
      </c>
      <c r="AJ26" s="260" t="s">
        <v>1839</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1839</v>
      </c>
      <c r="L27" s="280" t="s">
        <v>1840</v>
      </c>
      <c r="M27" s="219" t="s">
        <v>1839</v>
      </c>
      <c r="N27" s="219" t="s">
        <v>1839</v>
      </c>
      <c r="O27" s="226" t="s">
        <v>1839</v>
      </c>
      <c r="P27" s="219" t="s">
        <v>1294</v>
      </c>
      <c r="Q27" s="219" t="s">
        <v>1275</v>
      </c>
      <c r="R27" s="219" t="s">
        <v>1423</v>
      </c>
      <c r="S27" s="219" t="s">
        <v>1889</v>
      </c>
      <c r="T27" s="219" t="s">
        <v>1839</v>
      </c>
      <c r="U27" s="219" t="s">
        <v>1839</v>
      </c>
      <c r="V27" s="219" t="s">
        <v>1839</v>
      </c>
      <c r="W27" s="219" t="s">
        <v>1839</v>
      </c>
      <c r="X27" s="219" t="s">
        <v>1839</v>
      </c>
      <c r="Y27" s="226" t="s">
        <v>1839</v>
      </c>
      <c r="Z27" s="219" t="s">
        <v>254</v>
      </c>
      <c r="AA27" s="219" t="s">
        <v>1839</v>
      </c>
      <c r="AB27" s="219" t="s">
        <v>254</v>
      </c>
      <c r="AC27" s="219" t="s">
        <v>1839</v>
      </c>
      <c r="AD27" s="219" t="s">
        <v>1839</v>
      </c>
      <c r="AE27" s="260" t="s">
        <v>1839</v>
      </c>
      <c r="AF27" s="260">
        <v>310000</v>
      </c>
      <c r="AG27" s="260">
        <v>365500</v>
      </c>
      <c r="AH27" s="260" t="s">
        <v>1839</v>
      </c>
      <c r="AI27" s="260" t="s">
        <v>1839</v>
      </c>
      <c r="AJ27" s="260" t="s">
        <v>1839</v>
      </c>
    </row>
    <row r="28" spans="1:36">
      <c r="A28" s="220">
        <v>6512</v>
      </c>
      <c r="B28" s="220" t="s">
        <v>1424</v>
      </c>
      <c r="C28" s="268" t="s">
        <v>1827</v>
      </c>
      <c r="D28" s="220" t="str">
        <f t="shared" si="0"/>
        <v>宮城100き6512</v>
      </c>
      <c r="E28" s="219" t="s">
        <v>1388</v>
      </c>
      <c r="F28" s="220" t="s">
        <v>727</v>
      </c>
      <c r="G28" s="220" t="s">
        <v>1304</v>
      </c>
      <c r="H28" s="220" t="s">
        <v>874</v>
      </c>
      <c r="I28" s="220" t="s">
        <v>1389</v>
      </c>
      <c r="J28" s="220" t="s">
        <v>1303</v>
      </c>
      <c r="K28" s="220" t="s">
        <v>367</v>
      </c>
      <c r="L28" s="220" t="s">
        <v>532</v>
      </c>
      <c r="M28" s="220" t="s">
        <v>1844</v>
      </c>
      <c r="N28" s="195">
        <v>42922</v>
      </c>
      <c r="O28" s="222">
        <v>234150</v>
      </c>
      <c r="P28" s="223" t="s">
        <v>1294</v>
      </c>
      <c r="Q28" s="219" t="s">
        <v>1275</v>
      </c>
      <c r="R28" s="225" t="s">
        <v>1839</v>
      </c>
      <c r="S28" s="219" t="s">
        <v>1249</v>
      </c>
      <c r="T28" s="219" t="s">
        <v>325</v>
      </c>
      <c r="U28" s="220" t="s">
        <v>1839</v>
      </c>
      <c r="V28" s="220" t="s">
        <v>1839</v>
      </c>
      <c r="W28" s="219" t="s">
        <v>1839</v>
      </c>
      <c r="X28" s="219" t="s">
        <v>1839</v>
      </c>
      <c r="Y28" s="222" t="s">
        <v>1839</v>
      </c>
      <c r="Z28" s="219" t="s">
        <v>254</v>
      </c>
      <c r="AA28" s="219" t="s">
        <v>1839</v>
      </c>
      <c r="AB28" s="219" t="s">
        <v>254</v>
      </c>
      <c r="AC28" s="219" t="s">
        <v>163</v>
      </c>
      <c r="AD28" s="223" t="s">
        <v>323</v>
      </c>
      <c r="AE28" s="260" t="s">
        <v>1839</v>
      </c>
      <c r="AF28" s="260">
        <v>100600</v>
      </c>
      <c r="AG28" s="260">
        <v>208700</v>
      </c>
      <c r="AH28" s="260" t="s">
        <v>1839</v>
      </c>
      <c r="AI28" s="260" t="s">
        <v>1839</v>
      </c>
      <c r="AJ28" s="260" t="s">
        <v>1839</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1844</v>
      </c>
      <c r="N29" s="195">
        <v>43045</v>
      </c>
      <c r="O29" s="222">
        <v>227850</v>
      </c>
      <c r="P29" s="223" t="s">
        <v>1294</v>
      </c>
      <c r="Q29" s="219" t="s">
        <v>1275</v>
      </c>
      <c r="R29" s="225" t="s">
        <v>405</v>
      </c>
      <c r="S29" s="219" t="s">
        <v>1249</v>
      </c>
      <c r="T29" s="219" t="s">
        <v>1296</v>
      </c>
      <c r="U29" s="220" t="s">
        <v>1839</v>
      </c>
      <c r="V29" s="220" t="s">
        <v>1839</v>
      </c>
      <c r="W29" s="219" t="s">
        <v>1839</v>
      </c>
      <c r="X29" s="219" t="s">
        <v>1839</v>
      </c>
      <c r="Y29" s="222" t="s">
        <v>1839</v>
      </c>
      <c r="Z29" s="219" t="s">
        <v>254</v>
      </c>
      <c r="AA29" s="219" t="s">
        <v>1839</v>
      </c>
      <c r="AB29" s="219" t="s">
        <v>254</v>
      </c>
      <c r="AC29" s="219" t="s">
        <v>528</v>
      </c>
      <c r="AD29" s="223" t="s">
        <v>323</v>
      </c>
      <c r="AE29" s="260">
        <v>118000</v>
      </c>
      <c r="AF29" s="260">
        <v>175300</v>
      </c>
      <c r="AG29" s="260">
        <v>302900</v>
      </c>
      <c r="AH29" s="260" t="s">
        <v>1839</v>
      </c>
      <c r="AI29" s="260" t="s">
        <v>1839</v>
      </c>
      <c r="AJ29" s="260" t="s">
        <v>1839</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1839</v>
      </c>
      <c r="L30" s="219" t="s">
        <v>1543</v>
      </c>
      <c r="M30" s="220" t="s">
        <v>1847</v>
      </c>
      <c r="N30" s="196">
        <v>42499</v>
      </c>
      <c r="O30" s="226">
        <v>197925</v>
      </c>
      <c r="P30" s="219" t="s">
        <v>1294</v>
      </c>
      <c r="Q30" s="219" t="s">
        <v>1275</v>
      </c>
      <c r="R30" s="219" t="s">
        <v>1542</v>
      </c>
      <c r="S30" s="219" t="s">
        <v>1252</v>
      </c>
      <c r="T30" s="219" t="s">
        <v>1839</v>
      </c>
      <c r="U30" s="219" t="s">
        <v>1839</v>
      </c>
      <c r="V30" s="219" t="s">
        <v>1839</v>
      </c>
      <c r="W30" s="219" t="s">
        <v>1839</v>
      </c>
      <c r="X30" s="219" t="s">
        <v>1839</v>
      </c>
      <c r="Y30" s="226" t="s">
        <v>1839</v>
      </c>
      <c r="Z30" s="219" t="s">
        <v>1805</v>
      </c>
      <c r="AA30" s="219" t="s">
        <v>1839</v>
      </c>
      <c r="AB30" s="219" t="s">
        <v>254</v>
      </c>
      <c r="AC30" s="219" t="s">
        <v>1839</v>
      </c>
      <c r="AD30" s="219" t="s">
        <v>1839</v>
      </c>
      <c r="AE30" s="260" t="s">
        <v>1839</v>
      </c>
      <c r="AF30" s="260">
        <v>567200</v>
      </c>
      <c r="AG30" s="260">
        <v>608800</v>
      </c>
      <c r="AH30" s="260" t="s">
        <v>1839</v>
      </c>
      <c r="AI30" s="260" t="s">
        <v>1839</v>
      </c>
      <c r="AJ30" s="260" t="s">
        <v>1839</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1839</v>
      </c>
      <c r="L31" s="219" t="s">
        <v>1543</v>
      </c>
      <c r="M31" s="220" t="s">
        <v>1844</v>
      </c>
      <c r="N31" s="196">
        <v>43274</v>
      </c>
      <c r="O31" s="226">
        <v>196980</v>
      </c>
      <c r="P31" s="219" t="s">
        <v>1294</v>
      </c>
      <c r="Q31" s="219" t="s">
        <v>1275</v>
      </c>
      <c r="R31" s="219" t="s">
        <v>1547</v>
      </c>
      <c r="S31" s="219" t="s">
        <v>1252</v>
      </c>
      <c r="T31" s="219" t="s">
        <v>1839</v>
      </c>
      <c r="U31" s="219" t="s">
        <v>1839</v>
      </c>
      <c r="V31" s="219" t="s">
        <v>1839</v>
      </c>
      <c r="W31" s="219" t="s">
        <v>1839</v>
      </c>
      <c r="X31" s="219" t="s">
        <v>1839</v>
      </c>
      <c r="Y31" s="226" t="s">
        <v>1839</v>
      </c>
      <c r="Z31" s="219" t="s">
        <v>1805</v>
      </c>
      <c r="AA31" s="219" t="s">
        <v>1839</v>
      </c>
      <c r="AB31" s="219" t="s">
        <v>254</v>
      </c>
      <c r="AC31" s="219" t="s">
        <v>1839</v>
      </c>
      <c r="AD31" s="219" t="s">
        <v>1839</v>
      </c>
      <c r="AE31" s="260" t="s">
        <v>1839</v>
      </c>
      <c r="AF31" s="260" t="s">
        <v>1839</v>
      </c>
      <c r="AG31" s="260">
        <v>45700</v>
      </c>
      <c r="AH31" s="260" t="s">
        <v>1839</v>
      </c>
      <c r="AI31" s="260" t="s">
        <v>1839</v>
      </c>
      <c r="AJ31" s="260" t="s">
        <v>1839</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1839</v>
      </c>
      <c r="L32" s="219" t="s">
        <v>1543</v>
      </c>
      <c r="M32" s="219" t="s">
        <v>1852</v>
      </c>
      <c r="N32" s="196">
        <v>43397</v>
      </c>
      <c r="O32" s="226">
        <v>207375</v>
      </c>
      <c r="P32" s="219" t="s">
        <v>1294</v>
      </c>
      <c r="Q32" s="219" t="s">
        <v>1275</v>
      </c>
      <c r="R32" s="219" t="s">
        <v>1549</v>
      </c>
      <c r="S32" s="219" t="s">
        <v>1252</v>
      </c>
      <c r="T32" s="219" t="s">
        <v>1839</v>
      </c>
      <c r="U32" s="219" t="s">
        <v>1839</v>
      </c>
      <c r="V32" s="219" t="s">
        <v>1839</v>
      </c>
      <c r="W32" s="219" t="s">
        <v>1839</v>
      </c>
      <c r="X32" s="219" t="s">
        <v>1839</v>
      </c>
      <c r="Y32" s="226" t="s">
        <v>1839</v>
      </c>
      <c r="Z32" s="219" t="s">
        <v>1805</v>
      </c>
      <c r="AA32" s="219" t="s">
        <v>1839</v>
      </c>
      <c r="AB32" s="219" t="s">
        <v>254</v>
      </c>
      <c r="AC32" s="219" t="s">
        <v>1839</v>
      </c>
      <c r="AD32" s="219" t="s">
        <v>1839</v>
      </c>
      <c r="AE32" s="260" t="s">
        <v>1839</v>
      </c>
      <c r="AF32" s="260" t="s">
        <v>1839</v>
      </c>
      <c r="AG32" s="260">
        <v>42700</v>
      </c>
      <c r="AH32" s="260" t="s">
        <v>1839</v>
      </c>
      <c r="AI32" s="260" t="s">
        <v>1839</v>
      </c>
      <c r="AJ32" s="260" t="s">
        <v>1839</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1839</v>
      </c>
      <c r="L33" s="219" t="s">
        <v>1543</v>
      </c>
      <c r="M33" s="219" t="s">
        <v>1852</v>
      </c>
      <c r="N33" s="196">
        <v>43397</v>
      </c>
      <c r="O33" s="226">
        <v>207375</v>
      </c>
      <c r="P33" s="219" t="s">
        <v>1294</v>
      </c>
      <c r="Q33" s="219" t="s">
        <v>1275</v>
      </c>
      <c r="R33" s="219" t="s">
        <v>1550</v>
      </c>
      <c r="S33" s="219" t="s">
        <v>1252</v>
      </c>
      <c r="T33" s="219" t="s">
        <v>1839</v>
      </c>
      <c r="U33" s="219" t="s">
        <v>1839</v>
      </c>
      <c r="V33" s="219" t="s">
        <v>1839</v>
      </c>
      <c r="W33" s="219" t="s">
        <v>1839</v>
      </c>
      <c r="X33" s="219" t="s">
        <v>1839</v>
      </c>
      <c r="Y33" s="226" t="s">
        <v>1839</v>
      </c>
      <c r="Z33" s="219" t="s">
        <v>1805</v>
      </c>
      <c r="AA33" s="219" t="s">
        <v>1839</v>
      </c>
      <c r="AB33" s="219" t="s">
        <v>254</v>
      </c>
      <c r="AC33" s="219" t="s">
        <v>1839</v>
      </c>
      <c r="AD33" s="219" t="s">
        <v>1839</v>
      </c>
      <c r="AE33" s="260" t="s">
        <v>1839</v>
      </c>
      <c r="AF33" s="260" t="s">
        <v>1839</v>
      </c>
      <c r="AG33" s="260">
        <v>45600</v>
      </c>
      <c r="AH33" s="260" t="s">
        <v>1839</v>
      </c>
      <c r="AI33" s="260" t="s">
        <v>1839</v>
      </c>
      <c r="AJ33" s="260" t="s">
        <v>1839</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1839</v>
      </c>
      <c r="L34" s="219" t="s">
        <v>1543</v>
      </c>
      <c r="M34" s="219" t="s">
        <v>1852</v>
      </c>
      <c r="N34" s="196">
        <v>43397</v>
      </c>
      <c r="O34" s="226">
        <v>207375</v>
      </c>
      <c r="P34" s="219" t="s">
        <v>1294</v>
      </c>
      <c r="Q34" s="219" t="s">
        <v>1275</v>
      </c>
      <c r="R34" s="219" t="s">
        <v>1551</v>
      </c>
      <c r="S34" s="219" t="s">
        <v>1252</v>
      </c>
      <c r="T34" s="219" t="s">
        <v>1839</v>
      </c>
      <c r="U34" s="219" t="s">
        <v>1839</v>
      </c>
      <c r="V34" s="219" t="s">
        <v>1839</v>
      </c>
      <c r="W34" s="219" t="s">
        <v>1839</v>
      </c>
      <c r="X34" s="219" t="s">
        <v>1839</v>
      </c>
      <c r="Y34" s="226" t="s">
        <v>1839</v>
      </c>
      <c r="Z34" s="219" t="s">
        <v>1805</v>
      </c>
      <c r="AA34" s="219" t="s">
        <v>1839</v>
      </c>
      <c r="AB34" s="219" t="s">
        <v>254</v>
      </c>
      <c r="AC34" s="219" t="s">
        <v>1839</v>
      </c>
      <c r="AD34" s="219" t="s">
        <v>1839</v>
      </c>
      <c r="AE34" s="260" t="s">
        <v>1839</v>
      </c>
      <c r="AF34" s="260" t="s">
        <v>1839</v>
      </c>
      <c r="AG34" s="260">
        <v>49400</v>
      </c>
      <c r="AH34" s="260" t="s">
        <v>1839</v>
      </c>
      <c r="AI34" s="260" t="s">
        <v>1839</v>
      </c>
      <c r="AJ34" s="260" t="s">
        <v>1839</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1839</v>
      </c>
      <c r="L35" s="219" t="s">
        <v>1543</v>
      </c>
      <c r="M35" s="219" t="s">
        <v>1852</v>
      </c>
      <c r="N35" s="196">
        <v>43423</v>
      </c>
      <c r="O35" s="226">
        <v>207375</v>
      </c>
      <c r="P35" s="219" t="s">
        <v>1294</v>
      </c>
      <c r="Q35" s="219" t="s">
        <v>1275</v>
      </c>
      <c r="R35" s="219" t="s">
        <v>1553</v>
      </c>
      <c r="S35" s="219" t="s">
        <v>1252</v>
      </c>
      <c r="T35" s="219" t="s">
        <v>1839</v>
      </c>
      <c r="U35" s="219" t="s">
        <v>1839</v>
      </c>
      <c r="V35" s="219" t="s">
        <v>1839</v>
      </c>
      <c r="W35" s="219" t="s">
        <v>1839</v>
      </c>
      <c r="X35" s="219" t="s">
        <v>1839</v>
      </c>
      <c r="Y35" s="226" t="s">
        <v>1839</v>
      </c>
      <c r="Z35" s="219" t="s">
        <v>1805</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1839</v>
      </c>
      <c r="L36" s="219" t="s">
        <v>1543</v>
      </c>
      <c r="M36" s="219" t="s">
        <v>1852</v>
      </c>
      <c r="N36" s="196">
        <v>43423</v>
      </c>
      <c r="O36" s="226">
        <v>207375</v>
      </c>
      <c r="P36" s="219" t="s">
        <v>1294</v>
      </c>
      <c r="Q36" s="219" t="s">
        <v>1275</v>
      </c>
      <c r="R36" s="219" t="s">
        <v>1554</v>
      </c>
      <c r="S36" s="219" t="s">
        <v>1252</v>
      </c>
      <c r="T36" s="219" t="s">
        <v>1839</v>
      </c>
      <c r="U36" s="219" t="s">
        <v>1839</v>
      </c>
      <c r="V36" s="219" t="s">
        <v>1839</v>
      </c>
      <c r="W36" s="219" t="s">
        <v>1839</v>
      </c>
      <c r="X36" s="219" t="s">
        <v>1839</v>
      </c>
      <c r="Y36" s="226" t="s">
        <v>1839</v>
      </c>
      <c r="Z36" s="219" t="s">
        <v>1805</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1839</v>
      </c>
      <c r="L37" s="219" t="s">
        <v>1543</v>
      </c>
      <c r="M37" s="219" t="s">
        <v>1852</v>
      </c>
      <c r="N37" s="196">
        <v>43423</v>
      </c>
      <c r="O37" s="226">
        <v>207375</v>
      </c>
      <c r="P37" s="219" t="s">
        <v>1294</v>
      </c>
      <c r="Q37" s="219" t="s">
        <v>1275</v>
      </c>
      <c r="R37" s="219" t="s">
        <v>1555</v>
      </c>
      <c r="S37" s="219" t="s">
        <v>1252</v>
      </c>
      <c r="T37" s="219" t="s">
        <v>1839</v>
      </c>
      <c r="U37" s="219" t="s">
        <v>1839</v>
      </c>
      <c r="V37" s="219" t="s">
        <v>1839</v>
      </c>
      <c r="W37" s="219" t="s">
        <v>1839</v>
      </c>
      <c r="X37" s="219" t="s">
        <v>1839</v>
      </c>
      <c r="Y37" s="226" t="s">
        <v>1839</v>
      </c>
      <c r="Z37" s="219" t="s">
        <v>1805</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1839</v>
      </c>
      <c r="L38" s="219" t="s">
        <v>1543</v>
      </c>
      <c r="M38" s="219" t="s">
        <v>1852</v>
      </c>
      <c r="N38" s="196">
        <v>43423</v>
      </c>
      <c r="O38" s="226">
        <v>207375</v>
      </c>
      <c r="P38" s="219" t="s">
        <v>1294</v>
      </c>
      <c r="Q38" s="219" t="s">
        <v>1275</v>
      </c>
      <c r="R38" s="219" t="s">
        <v>1556</v>
      </c>
      <c r="S38" s="219" t="s">
        <v>1252</v>
      </c>
      <c r="T38" s="219" t="s">
        <v>1839</v>
      </c>
      <c r="U38" s="219" t="s">
        <v>1839</v>
      </c>
      <c r="V38" s="219" t="s">
        <v>1839</v>
      </c>
      <c r="W38" s="219" t="s">
        <v>1839</v>
      </c>
      <c r="X38" s="219" t="s">
        <v>1839</v>
      </c>
      <c r="Y38" s="226" t="s">
        <v>1839</v>
      </c>
      <c r="Z38" s="219" t="s">
        <v>1805</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1839</v>
      </c>
      <c r="L39" s="219" t="s">
        <v>1543</v>
      </c>
      <c r="M39" s="219" t="s">
        <v>1852</v>
      </c>
      <c r="N39" s="196">
        <v>43437</v>
      </c>
      <c r="O39" s="226">
        <v>207375</v>
      </c>
      <c r="P39" s="219" t="s">
        <v>1294</v>
      </c>
      <c r="Q39" s="219" t="s">
        <v>1275</v>
      </c>
      <c r="R39" s="219" t="s">
        <v>1558</v>
      </c>
      <c r="S39" s="219" t="s">
        <v>1252</v>
      </c>
      <c r="T39" s="219" t="s">
        <v>1839</v>
      </c>
      <c r="U39" s="219" t="s">
        <v>1839</v>
      </c>
      <c r="V39" s="219" t="s">
        <v>1839</v>
      </c>
      <c r="W39" s="219" t="s">
        <v>1839</v>
      </c>
      <c r="X39" s="219" t="s">
        <v>1839</v>
      </c>
      <c r="Y39" s="226" t="s">
        <v>1839</v>
      </c>
      <c r="Z39" s="219" t="s">
        <v>1805</v>
      </c>
      <c r="AA39" s="219" t="s">
        <v>1839</v>
      </c>
      <c r="AB39" s="219" t="s">
        <v>254</v>
      </c>
      <c r="AC39" s="219" t="s">
        <v>1839</v>
      </c>
      <c r="AD39" s="219" t="s">
        <v>1839</v>
      </c>
      <c r="AE39" s="260" t="s">
        <v>1839</v>
      </c>
      <c r="AF39" s="260" t="s">
        <v>1839</v>
      </c>
      <c r="AG39" s="260" t="s">
        <v>1839</v>
      </c>
      <c r="AH39" s="260" t="s">
        <v>1839</v>
      </c>
      <c r="AI39" s="260" t="s">
        <v>1839</v>
      </c>
      <c r="AJ39" s="260" t="s">
        <v>1839</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1839</v>
      </c>
      <c r="N40" s="220" t="s">
        <v>1839</v>
      </c>
      <c r="O40" s="222" t="s">
        <v>1839</v>
      </c>
      <c r="P40" s="223" t="s">
        <v>1294</v>
      </c>
      <c r="Q40" s="219" t="s">
        <v>1839</v>
      </c>
      <c r="R40" s="225" t="s">
        <v>879</v>
      </c>
      <c r="S40" s="219" t="s">
        <v>1249</v>
      </c>
      <c r="T40" s="224" t="s">
        <v>1839</v>
      </c>
      <c r="U40" s="220" t="s">
        <v>1839</v>
      </c>
      <c r="V40" s="220" t="s">
        <v>1839</v>
      </c>
      <c r="W40" s="219" t="s">
        <v>1839</v>
      </c>
      <c r="X40" s="219" t="s">
        <v>1839</v>
      </c>
      <c r="Y40" s="222" t="s">
        <v>1839</v>
      </c>
      <c r="Z40" s="219" t="s">
        <v>254</v>
      </c>
      <c r="AA40" s="219" t="s">
        <v>1839</v>
      </c>
      <c r="AB40" s="219" t="s">
        <v>254</v>
      </c>
      <c r="AC40" s="219" t="s">
        <v>163</v>
      </c>
      <c r="AD40" s="223" t="s">
        <v>323</v>
      </c>
      <c r="AE40" s="260" t="s">
        <v>1839</v>
      </c>
      <c r="AF40" s="260" t="s">
        <v>1839</v>
      </c>
      <c r="AG40" s="260" t="s">
        <v>1839</v>
      </c>
      <c r="AH40" s="260" t="s">
        <v>1839</v>
      </c>
      <c r="AI40" s="260" t="s">
        <v>1839</v>
      </c>
      <c r="AJ40" s="260" t="s">
        <v>1839</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1839</v>
      </c>
      <c r="L41" s="280" t="s">
        <v>1840</v>
      </c>
      <c r="M41" s="219" t="s">
        <v>1839</v>
      </c>
      <c r="N41" s="219" t="s">
        <v>1839</v>
      </c>
      <c r="O41" s="226" t="s">
        <v>1839</v>
      </c>
      <c r="P41" s="219" t="s">
        <v>1294</v>
      </c>
      <c r="Q41" s="219" t="s">
        <v>1275</v>
      </c>
      <c r="R41" s="227">
        <v>5098</v>
      </c>
      <c r="S41" s="219" t="s">
        <v>1249</v>
      </c>
      <c r="T41" s="219" t="s">
        <v>1839</v>
      </c>
      <c r="U41" s="219" t="s">
        <v>1839</v>
      </c>
      <c r="V41" s="219" t="s">
        <v>1839</v>
      </c>
      <c r="W41" s="219" t="s">
        <v>1839</v>
      </c>
      <c r="X41" s="219" t="s">
        <v>1839</v>
      </c>
      <c r="Y41" s="226" t="s">
        <v>1839</v>
      </c>
      <c r="Z41" s="219" t="s">
        <v>254</v>
      </c>
      <c r="AA41" s="219" t="s">
        <v>1839</v>
      </c>
      <c r="AB41" s="219" t="s">
        <v>254</v>
      </c>
      <c r="AC41" s="219" t="s">
        <v>1839</v>
      </c>
      <c r="AD41" s="219" t="s">
        <v>1839</v>
      </c>
      <c r="AE41" s="260" t="s">
        <v>1839</v>
      </c>
      <c r="AF41" s="260">
        <v>184700</v>
      </c>
      <c r="AG41" s="260">
        <v>240200</v>
      </c>
      <c r="AH41" s="260" t="s">
        <v>1839</v>
      </c>
      <c r="AI41" s="260" t="s">
        <v>1839</v>
      </c>
      <c r="AJ41" s="260" t="s">
        <v>1839</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1839</v>
      </c>
      <c r="N42" s="220" t="s">
        <v>1839</v>
      </c>
      <c r="O42" s="222" t="s">
        <v>1839</v>
      </c>
      <c r="P42" s="223" t="s">
        <v>1294</v>
      </c>
      <c r="Q42" s="219" t="s">
        <v>1275</v>
      </c>
      <c r="R42" s="225" t="s">
        <v>655</v>
      </c>
      <c r="S42" s="219" t="s">
        <v>1249</v>
      </c>
      <c r="T42" s="224" t="s">
        <v>325</v>
      </c>
      <c r="U42" s="220" t="s">
        <v>1839</v>
      </c>
      <c r="V42" s="220" t="s">
        <v>1839</v>
      </c>
      <c r="W42" s="219" t="s">
        <v>1839</v>
      </c>
      <c r="X42" s="219" t="s">
        <v>1839</v>
      </c>
      <c r="Y42" s="222" t="s">
        <v>1839</v>
      </c>
      <c r="Z42" s="219" t="s">
        <v>254</v>
      </c>
      <c r="AA42" s="219" t="s">
        <v>1839</v>
      </c>
      <c r="AB42" s="219" t="s">
        <v>254</v>
      </c>
      <c r="AC42" s="219" t="s">
        <v>163</v>
      </c>
      <c r="AD42" s="223" t="s">
        <v>323</v>
      </c>
      <c r="AE42" s="260" t="s">
        <v>1839</v>
      </c>
      <c r="AF42" s="260">
        <v>124400</v>
      </c>
      <c r="AG42" s="260" t="s">
        <v>1839</v>
      </c>
      <c r="AH42" s="260" t="s">
        <v>1839</v>
      </c>
      <c r="AI42" s="260" t="s">
        <v>1839</v>
      </c>
      <c r="AJ42" s="260" t="s">
        <v>1839</v>
      </c>
    </row>
    <row r="43" spans="1:36" ht="22.5">
      <c r="A43" s="219">
        <v>2721</v>
      </c>
      <c r="B43" s="220" t="s">
        <v>1228</v>
      </c>
      <c r="C43" s="267" t="s">
        <v>1276</v>
      </c>
      <c r="D43" s="220" t="str">
        <f t="shared" si="1"/>
        <v>宮城400あ2721</v>
      </c>
      <c r="E43" s="220" t="s">
        <v>1147</v>
      </c>
      <c r="F43" s="220" t="s">
        <v>1402</v>
      </c>
      <c r="G43" s="220" t="s">
        <v>1401</v>
      </c>
      <c r="H43" s="105" t="s">
        <v>1775</v>
      </c>
      <c r="I43" s="219" t="s">
        <v>1839</v>
      </c>
      <c r="J43" s="219" t="s">
        <v>1839</v>
      </c>
      <c r="K43" s="220" t="s">
        <v>1853</v>
      </c>
      <c r="L43" s="237" t="s">
        <v>1121</v>
      </c>
      <c r="M43" s="236" t="s">
        <v>1121</v>
      </c>
      <c r="N43" s="219" t="s">
        <v>1839</v>
      </c>
      <c r="O43" s="234" t="s">
        <v>1839</v>
      </c>
      <c r="P43" s="220" t="s">
        <v>402</v>
      </c>
      <c r="Q43" s="220" t="s">
        <v>401</v>
      </c>
      <c r="R43" s="219" t="s">
        <v>1839</v>
      </c>
      <c r="S43" s="219" t="s">
        <v>1254</v>
      </c>
      <c r="T43" s="220" t="s">
        <v>1587</v>
      </c>
      <c r="U43" s="219" t="s">
        <v>1839</v>
      </c>
      <c r="V43" s="219" t="s">
        <v>1839</v>
      </c>
      <c r="W43" s="219" t="s">
        <v>1839</v>
      </c>
      <c r="X43" s="219" t="s">
        <v>1839</v>
      </c>
      <c r="Y43" s="282" t="s">
        <v>1854</v>
      </c>
      <c r="Z43" s="219" t="s">
        <v>1839</v>
      </c>
      <c r="AA43" s="219" t="s">
        <v>1807</v>
      </c>
      <c r="AB43" s="219" t="s">
        <v>254</v>
      </c>
      <c r="AC43" s="220" t="s">
        <v>163</v>
      </c>
      <c r="AD43" s="220" t="s">
        <v>323</v>
      </c>
      <c r="AE43" s="260" t="s">
        <v>1839</v>
      </c>
      <c r="AF43" s="260">
        <v>206800</v>
      </c>
      <c r="AG43" s="260">
        <v>221300</v>
      </c>
      <c r="AH43" s="260" t="s">
        <v>1839</v>
      </c>
      <c r="AI43" s="260" t="s">
        <v>1839</v>
      </c>
      <c r="AJ43" s="260" t="s">
        <v>1839</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1847</v>
      </c>
      <c r="N44" s="195">
        <v>42270</v>
      </c>
      <c r="O44" s="222">
        <v>87780</v>
      </c>
      <c r="P44" s="223" t="s">
        <v>1294</v>
      </c>
      <c r="Q44" s="219" t="s">
        <v>1275</v>
      </c>
      <c r="R44" s="225" t="s">
        <v>1839</v>
      </c>
      <c r="S44" s="219" t="s">
        <v>1245</v>
      </c>
      <c r="T44" s="219" t="s">
        <v>379</v>
      </c>
      <c r="U44" s="220" t="s">
        <v>1839</v>
      </c>
      <c r="V44" s="220" t="s">
        <v>1839</v>
      </c>
      <c r="W44" s="219" t="s">
        <v>1839</v>
      </c>
      <c r="X44" s="219" t="s">
        <v>1839</v>
      </c>
      <c r="Y44" s="222" t="s">
        <v>1839</v>
      </c>
      <c r="Z44" s="219" t="s">
        <v>254</v>
      </c>
      <c r="AA44" s="219" t="s">
        <v>1839</v>
      </c>
      <c r="AB44" s="219" t="s">
        <v>254</v>
      </c>
      <c r="AC44" s="219" t="s">
        <v>163</v>
      </c>
      <c r="AD44" s="223" t="s">
        <v>323</v>
      </c>
      <c r="AE44" s="260" t="s">
        <v>1839</v>
      </c>
      <c r="AF44" s="260">
        <v>171800</v>
      </c>
      <c r="AG44" s="260">
        <v>215700</v>
      </c>
      <c r="AH44" s="260" t="s">
        <v>1839</v>
      </c>
      <c r="AI44" s="260" t="s">
        <v>1839</v>
      </c>
      <c r="AJ44" s="260" t="s">
        <v>1839</v>
      </c>
    </row>
    <row r="45" spans="1:36">
      <c r="A45" s="220">
        <v>1053</v>
      </c>
      <c r="B45" s="220" t="s">
        <v>1479</v>
      </c>
      <c r="C45" s="267" t="s">
        <v>1276</v>
      </c>
      <c r="D45" s="220" t="str">
        <f t="shared" si="1"/>
        <v>三河100え1053</v>
      </c>
      <c r="E45" s="219" t="s">
        <v>1562</v>
      </c>
      <c r="F45" s="220" t="s">
        <v>957</v>
      </c>
      <c r="G45" s="220" t="s">
        <v>1855</v>
      </c>
      <c r="H45" s="220" t="s">
        <v>387</v>
      </c>
      <c r="I45" s="220" t="s">
        <v>1563</v>
      </c>
      <c r="J45" s="220" t="s">
        <v>1564</v>
      </c>
      <c r="K45" s="220" t="s">
        <v>388</v>
      </c>
      <c r="L45" s="279" t="s">
        <v>287</v>
      </c>
      <c r="M45" s="220" t="s">
        <v>1839</v>
      </c>
      <c r="N45" s="220" t="s">
        <v>1839</v>
      </c>
      <c r="O45" s="222" t="s">
        <v>1839</v>
      </c>
      <c r="P45" s="223" t="s">
        <v>1294</v>
      </c>
      <c r="Q45" s="219" t="s">
        <v>1839</v>
      </c>
      <c r="R45" s="225" t="s">
        <v>640</v>
      </c>
      <c r="S45" s="219" t="s">
        <v>1251</v>
      </c>
      <c r="T45" s="224" t="s">
        <v>1839</v>
      </c>
      <c r="U45" s="220" t="s">
        <v>1839</v>
      </c>
      <c r="V45" s="220" t="s">
        <v>1839</v>
      </c>
      <c r="W45" s="219" t="s">
        <v>1839</v>
      </c>
      <c r="X45" s="219" t="s">
        <v>1839</v>
      </c>
      <c r="Y45" s="222" t="s">
        <v>1839</v>
      </c>
      <c r="Z45" s="219" t="s">
        <v>1805</v>
      </c>
      <c r="AA45" s="219" t="s">
        <v>1839</v>
      </c>
      <c r="AB45" s="219" t="s">
        <v>254</v>
      </c>
      <c r="AC45" s="219" t="s">
        <v>294</v>
      </c>
      <c r="AD45" s="219" t="s">
        <v>1565</v>
      </c>
      <c r="AE45" s="260" t="s">
        <v>1839</v>
      </c>
      <c r="AF45" s="260" t="s">
        <v>1839</v>
      </c>
      <c r="AG45" s="260" t="s">
        <v>1839</v>
      </c>
      <c r="AH45" s="260" t="s">
        <v>1839</v>
      </c>
      <c r="AI45" s="260" t="s">
        <v>1839</v>
      </c>
      <c r="AJ45" s="260" t="s">
        <v>1839</v>
      </c>
    </row>
    <row r="46" spans="1:36">
      <c r="A46" s="219">
        <v>1147</v>
      </c>
      <c r="B46" s="219" t="s">
        <v>1479</v>
      </c>
      <c r="C46" s="267" t="s">
        <v>1276</v>
      </c>
      <c r="D46" s="220" t="str">
        <f t="shared" si="1"/>
        <v>三河100え1147</v>
      </c>
      <c r="E46" s="219" t="s">
        <v>1480</v>
      </c>
      <c r="F46" s="220" t="s">
        <v>672</v>
      </c>
      <c r="G46" s="219" t="s">
        <v>1856</v>
      </c>
      <c r="H46" s="220" t="s">
        <v>1481</v>
      </c>
      <c r="I46" s="219" t="s">
        <v>1482</v>
      </c>
      <c r="J46" s="219" t="s">
        <v>1483</v>
      </c>
      <c r="K46" s="219" t="s">
        <v>1839</v>
      </c>
      <c r="L46" s="280" t="s">
        <v>1840</v>
      </c>
      <c r="M46" s="219" t="s">
        <v>1839</v>
      </c>
      <c r="N46" s="219" t="s">
        <v>1839</v>
      </c>
      <c r="O46" s="226" t="s">
        <v>1839</v>
      </c>
      <c r="P46" s="219" t="s">
        <v>1294</v>
      </c>
      <c r="Q46" s="219" t="s">
        <v>1839</v>
      </c>
      <c r="R46" s="225" t="s">
        <v>1886</v>
      </c>
      <c r="S46" s="219" t="s">
        <v>1245</v>
      </c>
      <c r="T46" s="219" t="s">
        <v>1839</v>
      </c>
      <c r="U46" s="219" t="s">
        <v>1839</v>
      </c>
      <c r="V46" s="219" t="s">
        <v>1839</v>
      </c>
      <c r="W46" s="219" t="s">
        <v>1839</v>
      </c>
      <c r="X46" s="219" t="s">
        <v>1839</v>
      </c>
      <c r="Y46" s="226"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1148</v>
      </c>
      <c r="B47" s="219" t="s">
        <v>576</v>
      </c>
      <c r="C47" s="267" t="s">
        <v>1276</v>
      </c>
      <c r="D47" s="220" t="str">
        <f t="shared" si="1"/>
        <v>三河100え1148</v>
      </c>
      <c r="E47" s="219" t="s">
        <v>676</v>
      </c>
      <c r="F47" s="220" t="s">
        <v>672</v>
      </c>
      <c r="G47" s="219" t="s">
        <v>1856</v>
      </c>
      <c r="H47" s="220" t="s">
        <v>677</v>
      </c>
      <c r="I47" s="221" t="s">
        <v>673</v>
      </c>
      <c r="J47" s="221" t="s">
        <v>678</v>
      </c>
      <c r="K47" s="219" t="s">
        <v>1839</v>
      </c>
      <c r="L47" s="280" t="s">
        <v>1840</v>
      </c>
      <c r="M47" s="219" t="s">
        <v>1839</v>
      </c>
      <c r="N47" s="219" t="s">
        <v>1839</v>
      </c>
      <c r="O47" s="234" t="s">
        <v>1839</v>
      </c>
      <c r="P47" s="223" t="s">
        <v>400</v>
      </c>
      <c r="Q47" s="219" t="s">
        <v>1839</v>
      </c>
      <c r="R47" s="225" t="s">
        <v>640</v>
      </c>
      <c r="S47" s="219" t="s">
        <v>1245</v>
      </c>
      <c r="T47" s="219" t="s">
        <v>1839</v>
      </c>
      <c r="U47" s="219" t="s">
        <v>1839</v>
      </c>
      <c r="V47" s="219" t="s">
        <v>1839</v>
      </c>
      <c r="W47" s="219" t="s">
        <v>1839</v>
      </c>
      <c r="X47" s="219" t="s">
        <v>1839</v>
      </c>
      <c r="Y47" s="234"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19">
        <v>1156</v>
      </c>
      <c r="B48" s="219" t="s">
        <v>1479</v>
      </c>
      <c r="C48" s="267" t="s">
        <v>1831</v>
      </c>
      <c r="D48" s="220" t="str">
        <f t="shared" si="1"/>
        <v>三河100え1156</v>
      </c>
      <c r="E48" s="219" t="s">
        <v>1485</v>
      </c>
      <c r="F48" s="219" t="s">
        <v>1486</v>
      </c>
      <c r="G48" s="219" t="s">
        <v>1484</v>
      </c>
      <c r="H48" s="223" t="s">
        <v>696</v>
      </c>
      <c r="I48" s="219" t="s">
        <v>1487</v>
      </c>
      <c r="J48" s="219" t="s">
        <v>1488</v>
      </c>
      <c r="K48" s="219" t="s">
        <v>1839</v>
      </c>
      <c r="L48" s="220" t="s">
        <v>532</v>
      </c>
      <c r="M48" s="220" t="s">
        <v>1847</v>
      </c>
      <c r="N48" s="195">
        <v>42489</v>
      </c>
      <c r="O48" s="226">
        <v>74412</v>
      </c>
      <c r="P48" s="219" t="s">
        <v>1294</v>
      </c>
      <c r="Q48" s="219" t="s">
        <v>1839</v>
      </c>
      <c r="R48" s="225" t="s">
        <v>1886</v>
      </c>
      <c r="S48" s="219" t="s">
        <v>1245</v>
      </c>
      <c r="T48" s="219" t="s">
        <v>1839</v>
      </c>
      <c r="U48" s="219" t="s">
        <v>1839</v>
      </c>
      <c r="V48" s="219" t="s">
        <v>1839</v>
      </c>
      <c r="W48" s="219" t="s">
        <v>1839</v>
      </c>
      <c r="X48" s="219" t="s">
        <v>1839</v>
      </c>
      <c r="Y48" s="226" t="s">
        <v>1839</v>
      </c>
      <c r="Z48" s="219" t="s">
        <v>254</v>
      </c>
      <c r="AA48" s="219" t="s">
        <v>1839</v>
      </c>
      <c r="AB48" s="219" t="s">
        <v>254</v>
      </c>
      <c r="AC48" s="219" t="s">
        <v>1839</v>
      </c>
      <c r="AD48" s="219" t="s">
        <v>1839</v>
      </c>
      <c r="AE48" s="260" t="s">
        <v>1839</v>
      </c>
      <c r="AF48" s="260" t="s">
        <v>1839</v>
      </c>
      <c r="AG48" s="260" t="s">
        <v>1839</v>
      </c>
      <c r="AH48" s="260" t="s">
        <v>1839</v>
      </c>
      <c r="AI48" s="260" t="s">
        <v>1839</v>
      </c>
      <c r="AJ48" s="260" t="s">
        <v>1839</v>
      </c>
    </row>
    <row r="49" spans="1:36">
      <c r="A49" s="220">
        <v>705</v>
      </c>
      <c r="B49" s="220" t="s">
        <v>1479</v>
      </c>
      <c r="C49" s="267" t="s">
        <v>1276</v>
      </c>
      <c r="D49" s="220" t="str">
        <f t="shared" si="1"/>
        <v>三河100え705</v>
      </c>
      <c r="E49" s="219" t="s">
        <v>1480</v>
      </c>
      <c r="F49" s="220" t="s">
        <v>707</v>
      </c>
      <c r="G49" s="220" t="s">
        <v>1856</v>
      </c>
      <c r="H49" s="220" t="s">
        <v>392</v>
      </c>
      <c r="I49" s="220" t="s">
        <v>1366</v>
      </c>
      <c r="J49" s="220" t="s">
        <v>1566</v>
      </c>
      <c r="K49" s="220" t="s">
        <v>355</v>
      </c>
      <c r="L49" s="279" t="s">
        <v>287</v>
      </c>
      <c r="M49" s="236"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1805</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720</v>
      </c>
      <c r="B50" s="220" t="s">
        <v>1479</v>
      </c>
      <c r="C50" s="267" t="s">
        <v>1276</v>
      </c>
      <c r="D50" s="220" t="str">
        <f t="shared" si="1"/>
        <v>三河100え720</v>
      </c>
      <c r="E50" s="219" t="s">
        <v>1567</v>
      </c>
      <c r="F50" s="220" t="s">
        <v>707</v>
      </c>
      <c r="G50" s="220" t="s">
        <v>1856</v>
      </c>
      <c r="H50" s="220" t="s">
        <v>946</v>
      </c>
      <c r="I50" s="220" t="s">
        <v>1366</v>
      </c>
      <c r="J50" s="220" t="s">
        <v>1568</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1805</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774</v>
      </c>
      <c r="B51" s="220" t="s">
        <v>1479</v>
      </c>
      <c r="C51" s="267" t="s">
        <v>1276</v>
      </c>
      <c r="D51" s="220" t="str">
        <f t="shared" si="1"/>
        <v>三河100え774</v>
      </c>
      <c r="E51" s="220" t="s">
        <v>1359</v>
      </c>
      <c r="F51" s="220" t="s">
        <v>707</v>
      </c>
      <c r="G51" s="220" t="s">
        <v>1856</v>
      </c>
      <c r="H51" s="220" t="s">
        <v>948</v>
      </c>
      <c r="I51" s="220" t="s">
        <v>1366</v>
      </c>
      <c r="J51" s="220" t="s">
        <v>1569</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1805</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817</v>
      </c>
      <c r="B52" s="220" t="s">
        <v>1479</v>
      </c>
      <c r="C52" s="267" t="s">
        <v>1276</v>
      </c>
      <c r="D52" s="220" t="str">
        <f t="shared" si="1"/>
        <v>三河100え817</v>
      </c>
      <c r="E52" s="219" t="s">
        <v>1395</v>
      </c>
      <c r="F52" s="220" t="s">
        <v>707</v>
      </c>
      <c r="G52" s="220" t="s">
        <v>1856</v>
      </c>
      <c r="H52" s="220" t="s">
        <v>393</v>
      </c>
      <c r="I52" s="220" t="s">
        <v>1366</v>
      </c>
      <c r="J52" s="220" t="s">
        <v>1570</v>
      </c>
      <c r="K52" s="220" t="s">
        <v>355</v>
      </c>
      <c r="L52" s="279" t="s">
        <v>287</v>
      </c>
      <c r="M52" s="220" t="s">
        <v>1839</v>
      </c>
      <c r="N52" s="220" t="s">
        <v>1839</v>
      </c>
      <c r="O52" s="222" t="s">
        <v>1839</v>
      </c>
      <c r="P52" s="223" t="s">
        <v>1294</v>
      </c>
      <c r="Q52" s="219" t="s">
        <v>1839</v>
      </c>
      <c r="R52" s="225" t="s">
        <v>640</v>
      </c>
      <c r="S52" s="219" t="s">
        <v>1251</v>
      </c>
      <c r="T52" s="224" t="s">
        <v>1839</v>
      </c>
      <c r="U52" s="220" t="s">
        <v>1839</v>
      </c>
      <c r="V52" s="220" t="s">
        <v>1839</v>
      </c>
      <c r="W52" s="219" t="s">
        <v>1839</v>
      </c>
      <c r="X52" s="219" t="s">
        <v>1839</v>
      </c>
      <c r="Y52" s="222" t="s">
        <v>1839</v>
      </c>
      <c r="Z52" s="219" t="s">
        <v>1805</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830</v>
      </c>
      <c r="B53" s="220" t="s">
        <v>1479</v>
      </c>
      <c r="C53" s="267" t="s">
        <v>1276</v>
      </c>
      <c r="D53" s="220" t="str">
        <f t="shared" si="1"/>
        <v>三河100え830</v>
      </c>
      <c r="E53" s="219" t="s">
        <v>1571</v>
      </c>
      <c r="F53" s="220" t="s">
        <v>952</v>
      </c>
      <c r="G53" s="220" t="s">
        <v>1857</v>
      </c>
      <c r="H53" s="220" t="s">
        <v>390</v>
      </c>
      <c r="I53" s="220" t="s">
        <v>1572</v>
      </c>
      <c r="J53" s="220" t="s">
        <v>1573</v>
      </c>
      <c r="K53" s="220" t="s">
        <v>391</v>
      </c>
      <c r="L53" s="279" t="s">
        <v>287</v>
      </c>
      <c r="M53" s="220" t="s">
        <v>1839</v>
      </c>
      <c r="N53" s="220" t="s">
        <v>1839</v>
      </c>
      <c r="O53" s="222" t="s">
        <v>1839</v>
      </c>
      <c r="P53" s="223" t="s">
        <v>1294</v>
      </c>
      <c r="Q53" s="219" t="s">
        <v>1839</v>
      </c>
      <c r="R53" s="225" t="s">
        <v>1574</v>
      </c>
      <c r="S53" s="219" t="s">
        <v>1251</v>
      </c>
      <c r="T53" s="224" t="s">
        <v>1839</v>
      </c>
      <c r="U53" s="220" t="s">
        <v>1839</v>
      </c>
      <c r="V53" s="220" t="s">
        <v>1839</v>
      </c>
      <c r="W53" s="219" t="s">
        <v>1839</v>
      </c>
      <c r="X53" s="219" t="s">
        <v>1839</v>
      </c>
      <c r="Y53" s="222" t="s">
        <v>1839</v>
      </c>
      <c r="Z53" s="219" t="s">
        <v>1805</v>
      </c>
      <c r="AA53" s="219" t="s">
        <v>1839</v>
      </c>
      <c r="AB53" s="219" t="s">
        <v>254</v>
      </c>
      <c r="AC53" s="219" t="s">
        <v>294</v>
      </c>
      <c r="AD53" s="219" t="s">
        <v>1565</v>
      </c>
      <c r="AE53" s="260" t="s">
        <v>1839</v>
      </c>
      <c r="AF53" s="260" t="s">
        <v>1839</v>
      </c>
      <c r="AG53" s="260" t="s">
        <v>1839</v>
      </c>
      <c r="AH53" s="260" t="s">
        <v>1839</v>
      </c>
      <c r="AI53" s="260" t="s">
        <v>1839</v>
      </c>
      <c r="AJ53" s="260" t="s">
        <v>1839</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1839</v>
      </c>
      <c r="N54" s="220" t="s">
        <v>1839</v>
      </c>
      <c r="O54" s="222" t="s">
        <v>1839</v>
      </c>
      <c r="P54" s="223" t="s">
        <v>1294</v>
      </c>
      <c r="Q54" s="219" t="s">
        <v>1839</v>
      </c>
      <c r="R54" s="225" t="s">
        <v>621</v>
      </c>
      <c r="S54" s="219" t="s">
        <v>1245</v>
      </c>
      <c r="T54" s="224" t="s">
        <v>1839</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t="s">
        <v>1839</v>
      </c>
      <c r="AG54" s="260" t="s">
        <v>1839</v>
      </c>
      <c r="AH54" s="260" t="s">
        <v>1839</v>
      </c>
      <c r="AI54" s="260" t="s">
        <v>1839</v>
      </c>
      <c r="AJ54" s="260" t="s">
        <v>1839</v>
      </c>
    </row>
    <row r="55" spans="1:36" ht="22.5">
      <c r="A55" s="223">
        <v>7132</v>
      </c>
      <c r="B55" s="223" t="s">
        <v>1491</v>
      </c>
      <c r="C55" s="267" t="s">
        <v>1276</v>
      </c>
      <c r="D55" s="220" t="str">
        <f t="shared" si="1"/>
        <v>三河100か7132</v>
      </c>
      <c r="E55" s="224" t="s">
        <v>1492</v>
      </c>
      <c r="F55" s="224" t="s">
        <v>642</v>
      </c>
      <c r="G55" s="224" t="s">
        <v>1843</v>
      </c>
      <c r="H55" s="223" t="s">
        <v>202</v>
      </c>
      <c r="I55" s="232" t="s">
        <v>1493</v>
      </c>
      <c r="J55" s="232" t="s">
        <v>1494</v>
      </c>
      <c r="K55" s="223" t="s">
        <v>170</v>
      </c>
      <c r="L55" s="279" t="s">
        <v>162</v>
      </c>
      <c r="M55" s="220" t="s">
        <v>1839</v>
      </c>
      <c r="N55" s="220" t="s">
        <v>1839</v>
      </c>
      <c r="O55" s="222" t="s">
        <v>1839</v>
      </c>
      <c r="P55" s="223" t="s">
        <v>1294</v>
      </c>
      <c r="Q55" s="219" t="s">
        <v>1275</v>
      </c>
      <c r="R55" s="225" t="s">
        <v>405</v>
      </c>
      <c r="S55" s="219" t="s">
        <v>1245</v>
      </c>
      <c r="T55" s="224" t="s">
        <v>1382</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662300</v>
      </c>
      <c r="AG55" s="260">
        <v>735100</v>
      </c>
      <c r="AH55" s="260" t="s">
        <v>1839</v>
      </c>
      <c r="AI55" s="260" t="s">
        <v>1839</v>
      </c>
      <c r="AJ55" s="260" t="s">
        <v>1839</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1839</v>
      </c>
      <c r="N56" s="220" t="s">
        <v>1839</v>
      </c>
      <c r="O56" s="222" t="s">
        <v>1839</v>
      </c>
      <c r="P56" s="223" t="s">
        <v>1294</v>
      </c>
      <c r="Q56" s="219" t="s">
        <v>1275</v>
      </c>
      <c r="R56" s="225" t="s">
        <v>1839</v>
      </c>
      <c r="S56" s="219" t="s">
        <v>1245</v>
      </c>
      <c r="T56" s="224" t="s">
        <v>1495</v>
      </c>
      <c r="U56" s="220" t="s">
        <v>1839</v>
      </c>
      <c r="V56" s="220" t="s">
        <v>1839</v>
      </c>
      <c r="W56" s="219" t="s">
        <v>1839</v>
      </c>
      <c r="X56" s="219" t="s">
        <v>1839</v>
      </c>
      <c r="Y56" s="222" t="s">
        <v>1839</v>
      </c>
      <c r="Z56" s="219" t="s">
        <v>254</v>
      </c>
      <c r="AA56" s="219" t="s">
        <v>1839</v>
      </c>
      <c r="AB56" s="219" t="s">
        <v>254</v>
      </c>
      <c r="AC56" s="219" t="s">
        <v>163</v>
      </c>
      <c r="AD56" s="223" t="s">
        <v>323</v>
      </c>
      <c r="AE56" s="260" t="s">
        <v>1839</v>
      </c>
      <c r="AF56" s="260">
        <v>151300</v>
      </c>
      <c r="AG56" s="260">
        <v>172200</v>
      </c>
      <c r="AH56" s="260" t="s">
        <v>1839</v>
      </c>
      <c r="AI56" s="260" t="s">
        <v>1839</v>
      </c>
      <c r="AJ56" s="260" t="s">
        <v>1839</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1805</v>
      </c>
      <c r="AA57" s="219" t="s">
        <v>1839</v>
      </c>
      <c r="AB57" s="219" t="s">
        <v>254</v>
      </c>
      <c r="AC57" s="219" t="s">
        <v>294</v>
      </c>
      <c r="AD57" s="219" t="s">
        <v>1565</v>
      </c>
      <c r="AE57" s="260">
        <v>117000</v>
      </c>
      <c r="AF57" s="260">
        <v>130000</v>
      </c>
      <c r="AG57" s="260" t="s">
        <v>1839</v>
      </c>
      <c r="AH57" s="260" t="s">
        <v>1839</v>
      </c>
      <c r="AI57" s="260" t="s">
        <v>1839</v>
      </c>
      <c r="AJ57" s="260" t="s">
        <v>1839</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1839</v>
      </c>
      <c r="N58" s="220" t="s">
        <v>1839</v>
      </c>
      <c r="O58" s="222" t="s">
        <v>1839</v>
      </c>
      <c r="P58" s="223" t="s">
        <v>1294</v>
      </c>
      <c r="Q58" s="219" t="s">
        <v>1275</v>
      </c>
      <c r="R58" s="225" t="s">
        <v>1839</v>
      </c>
      <c r="S58" s="219" t="s">
        <v>1251</v>
      </c>
      <c r="T58" s="224" t="s">
        <v>1296</v>
      </c>
      <c r="U58" s="220" t="s">
        <v>1839</v>
      </c>
      <c r="V58" s="220" t="s">
        <v>1839</v>
      </c>
      <c r="W58" s="219" t="s">
        <v>1839</v>
      </c>
      <c r="X58" s="219" t="s">
        <v>1839</v>
      </c>
      <c r="Y58" s="222" t="s">
        <v>1839</v>
      </c>
      <c r="Z58" s="219" t="s">
        <v>1805</v>
      </c>
      <c r="AA58" s="219" t="s">
        <v>1839</v>
      </c>
      <c r="AB58" s="219" t="s">
        <v>254</v>
      </c>
      <c r="AC58" s="219" t="s">
        <v>294</v>
      </c>
      <c r="AD58" s="219" t="s">
        <v>1565</v>
      </c>
      <c r="AE58" s="260">
        <v>109100</v>
      </c>
      <c r="AF58" s="260">
        <v>131500</v>
      </c>
      <c r="AG58" s="260" t="s">
        <v>1839</v>
      </c>
      <c r="AH58" s="260" t="s">
        <v>1839</v>
      </c>
      <c r="AI58" s="260" t="s">
        <v>1839</v>
      </c>
      <c r="AJ58" s="260" t="s">
        <v>1839</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1839</v>
      </c>
      <c r="N59" s="220" t="s">
        <v>1839</v>
      </c>
      <c r="O59" s="222" t="s">
        <v>1839</v>
      </c>
      <c r="P59" s="223" t="s">
        <v>1294</v>
      </c>
      <c r="Q59" s="219" t="s">
        <v>1275</v>
      </c>
      <c r="R59" s="225" t="s">
        <v>1839</v>
      </c>
      <c r="S59" s="219" t="s">
        <v>1251</v>
      </c>
      <c r="T59" s="224" t="s">
        <v>1495</v>
      </c>
      <c r="U59" s="220" t="s">
        <v>1839</v>
      </c>
      <c r="V59" s="220" t="s">
        <v>1839</v>
      </c>
      <c r="W59" s="219" t="s">
        <v>1839</v>
      </c>
      <c r="X59" s="219" t="s">
        <v>1839</v>
      </c>
      <c r="Y59" s="222" t="s">
        <v>1839</v>
      </c>
      <c r="Z59" s="219" t="s">
        <v>1805</v>
      </c>
      <c r="AA59" s="219" t="s">
        <v>1839</v>
      </c>
      <c r="AB59" s="219" t="s">
        <v>254</v>
      </c>
      <c r="AC59" s="219" t="s">
        <v>294</v>
      </c>
      <c r="AD59" s="219" t="s">
        <v>1565</v>
      </c>
      <c r="AE59" s="260">
        <v>395500</v>
      </c>
      <c r="AF59" s="260">
        <v>407500</v>
      </c>
      <c r="AG59" s="260" t="s">
        <v>1839</v>
      </c>
      <c r="AH59" s="260" t="s">
        <v>1839</v>
      </c>
      <c r="AI59" s="260" t="s">
        <v>1839</v>
      </c>
      <c r="AJ59" s="260" t="s">
        <v>1839</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1839</v>
      </c>
      <c r="N60" s="220" t="s">
        <v>1839</v>
      </c>
      <c r="O60" s="222" t="s">
        <v>1839</v>
      </c>
      <c r="P60" s="223" t="s">
        <v>1294</v>
      </c>
      <c r="Q60" s="219" t="s">
        <v>1275</v>
      </c>
      <c r="R60" s="225" t="s">
        <v>1839</v>
      </c>
      <c r="S60" s="219" t="s">
        <v>1251</v>
      </c>
      <c r="T60" s="224" t="s">
        <v>1296</v>
      </c>
      <c r="U60" s="220" t="s">
        <v>1839</v>
      </c>
      <c r="V60" s="220" t="s">
        <v>1839</v>
      </c>
      <c r="W60" s="219" t="s">
        <v>1839</v>
      </c>
      <c r="X60" s="219" t="s">
        <v>1839</v>
      </c>
      <c r="Y60" s="222" t="s">
        <v>1839</v>
      </c>
      <c r="Z60" s="219" t="s">
        <v>1805</v>
      </c>
      <c r="AA60" s="219" t="s">
        <v>1839</v>
      </c>
      <c r="AB60" s="219" t="s">
        <v>254</v>
      </c>
      <c r="AC60" s="219" t="s">
        <v>294</v>
      </c>
      <c r="AD60" s="219" t="s">
        <v>1565</v>
      </c>
      <c r="AE60" s="260" t="s">
        <v>1839</v>
      </c>
      <c r="AF60" s="260">
        <v>141800</v>
      </c>
      <c r="AG60" s="260">
        <v>158500</v>
      </c>
      <c r="AH60" s="260" t="s">
        <v>1839</v>
      </c>
      <c r="AI60" s="260" t="s">
        <v>1839</v>
      </c>
      <c r="AJ60" s="260" t="s">
        <v>1839</v>
      </c>
    </row>
    <row r="61" spans="1:36">
      <c r="A61" s="223">
        <v>9756</v>
      </c>
      <c r="B61" s="223" t="s">
        <v>1491</v>
      </c>
      <c r="C61" s="267" t="s">
        <v>1276</v>
      </c>
      <c r="D61" s="220" t="str">
        <f t="shared" si="1"/>
        <v>三河100か9756</v>
      </c>
      <c r="E61" s="224" t="s">
        <v>198</v>
      </c>
      <c r="F61" s="224" t="s">
        <v>169</v>
      </c>
      <c r="G61" s="224" t="s">
        <v>1843</v>
      </c>
      <c r="H61" s="223" t="s">
        <v>652</v>
      </c>
      <c r="I61" s="223" t="s">
        <v>1839</v>
      </c>
      <c r="J61" s="223" t="s">
        <v>1839</v>
      </c>
      <c r="K61" s="223" t="s">
        <v>1499</v>
      </c>
      <c r="L61" s="279" t="s">
        <v>162</v>
      </c>
      <c r="M61" s="220" t="s">
        <v>1839</v>
      </c>
      <c r="N61" s="220" t="s">
        <v>1839</v>
      </c>
      <c r="O61" s="222" t="s">
        <v>1839</v>
      </c>
      <c r="P61" s="223" t="s">
        <v>400</v>
      </c>
      <c r="Q61" s="219" t="s">
        <v>401</v>
      </c>
      <c r="R61" s="225" t="s">
        <v>655</v>
      </c>
      <c r="S61" s="219" t="s">
        <v>1245</v>
      </c>
      <c r="T61" s="224" t="s">
        <v>1382</v>
      </c>
      <c r="U61" s="220" t="s">
        <v>1839</v>
      </c>
      <c r="V61" s="220" t="s">
        <v>1839</v>
      </c>
      <c r="W61" s="219" t="s">
        <v>1839</v>
      </c>
      <c r="X61" s="219" t="s">
        <v>1839</v>
      </c>
      <c r="Y61" s="222" t="s">
        <v>1839</v>
      </c>
      <c r="Z61" s="219" t="s">
        <v>254</v>
      </c>
      <c r="AA61" s="219" t="s">
        <v>1839</v>
      </c>
      <c r="AB61" s="219" t="s">
        <v>254</v>
      </c>
      <c r="AC61" s="219" t="s">
        <v>163</v>
      </c>
      <c r="AD61" s="223" t="s">
        <v>323</v>
      </c>
      <c r="AE61" s="260" t="s">
        <v>1839</v>
      </c>
      <c r="AF61" s="260">
        <v>374700</v>
      </c>
      <c r="AG61" s="260">
        <v>486400</v>
      </c>
      <c r="AH61" s="260" t="s">
        <v>1839</v>
      </c>
      <c r="AI61" s="260" t="s">
        <v>1839</v>
      </c>
      <c r="AJ61" s="260" t="s">
        <v>1839</v>
      </c>
    </row>
    <row r="62" spans="1:36">
      <c r="A62" s="219">
        <v>1380</v>
      </c>
      <c r="B62" s="219" t="s">
        <v>1500</v>
      </c>
      <c r="C62" s="267" t="s">
        <v>1276</v>
      </c>
      <c r="D62" s="220" t="str">
        <f t="shared" si="1"/>
        <v>三河100き1380</v>
      </c>
      <c r="E62" s="219" t="s">
        <v>1501</v>
      </c>
      <c r="F62" s="219" t="s">
        <v>1502</v>
      </c>
      <c r="G62" s="219" t="s">
        <v>1843</v>
      </c>
      <c r="H62" s="220" t="s">
        <v>626</v>
      </c>
      <c r="I62" s="219" t="s">
        <v>1389</v>
      </c>
      <c r="J62" s="219" t="s">
        <v>1303</v>
      </c>
      <c r="K62" s="219" t="s">
        <v>1839</v>
      </c>
      <c r="L62" s="280" t="s">
        <v>1840</v>
      </c>
      <c r="M62" s="219" t="s">
        <v>1839</v>
      </c>
      <c r="N62" s="219" t="s">
        <v>1839</v>
      </c>
      <c r="O62" s="226" t="s">
        <v>1839</v>
      </c>
      <c r="P62" s="219" t="s">
        <v>1294</v>
      </c>
      <c r="Q62" s="219" t="s">
        <v>1275</v>
      </c>
      <c r="R62" s="219" t="s">
        <v>1839</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983700</v>
      </c>
      <c r="AG62" s="260">
        <v>83400</v>
      </c>
      <c r="AH62" s="260" t="s">
        <v>1839</v>
      </c>
      <c r="AI62" s="260" t="s">
        <v>1839</v>
      </c>
      <c r="AJ62" s="260" t="s">
        <v>1839</v>
      </c>
    </row>
    <row r="63" spans="1:36" ht="22.5">
      <c r="A63" s="219">
        <v>1395</v>
      </c>
      <c r="B63" s="219" t="s">
        <v>1500</v>
      </c>
      <c r="C63" s="267" t="s">
        <v>1276</v>
      </c>
      <c r="D63" s="220" t="str">
        <f t="shared" si="1"/>
        <v>三河100き1395</v>
      </c>
      <c r="E63" s="219" t="s">
        <v>1503</v>
      </c>
      <c r="F63" s="219" t="s">
        <v>1472</v>
      </c>
      <c r="G63" s="219" t="s">
        <v>1843</v>
      </c>
      <c r="H63" s="220" t="s">
        <v>632</v>
      </c>
      <c r="I63" s="221" t="s">
        <v>1504</v>
      </c>
      <c r="J63" s="221" t="s">
        <v>1505</v>
      </c>
      <c r="K63" s="219" t="s">
        <v>1839</v>
      </c>
      <c r="L63" s="220" t="s">
        <v>532</v>
      </c>
      <c r="M63" s="220" t="s">
        <v>1847</v>
      </c>
      <c r="N63" s="195">
        <v>42547</v>
      </c>
      <c r="O63" s="226">
        <v>205485</v>
      </c>
      <c r="P63" s="219" t="s">
        <v>1294</v>
      </c>
      <c r="Q63" s="219" t="s">
        <v>1275</v>
      </c>
      <c r="R63" s="227">
        <v>5098</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t="s">
        <v>1839</v>
      </c>
      <c r="AF63" s="260">
        <v>174100</v>
      </c>
      <c r="AG63" s="260">
        <v>303800</v>
      </c>
      <c r="AH63" s="260" t="s">
        <v>1839</v>
      </c>
      <c r="AI63" s="260" t="s">
        <v>1839</v>
      </c>
      <c r="AJ63" s="260" t="s">
        <v>1839</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1839</v>
      </c>
      <c r="L64" s="220" t="s">
        <v>532</v>
      </c>
      <c r="M64" s="220" t="s">
        <v>1847</v>
      </c>
      <c r="N64" s="195">
        <v>42730</v>
      </c>
      <c r="O64" s="226">
        <v>160440</v>
      </c>
      <c r="P64" s="219" t="s">
        <v>1294</v>
      </c>
      <c r="Q64" s="219" t="s">
        <v>1275</v>
      </c>
      <c r="R64" s="219" t="s">
        <v>1839</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674400</v>
      </c>
      <c r="AF64" s="260">
        <v>701500</v>
      </c>
      <c r="AG64" s="260" t="s">
        <v>1839</v>
      </c>
      <c r="AH64" s="260" t="s">
        <v>1839</v>
      </c>
      <c r="AI64" s="260" t="s">
        <v>1839</v>
      </c>
      <c r="AJ64" s="260" t="s">
        <v>1839</v>
      </c>
    </row>
    <row r="65" spans="1:36" ht="22.5">
      <c r="A65" s="219">
        <v>1737</v>
      </c>
      <c r="B65" s="219" t="s">
        <v>1500</v>
      </c>
      <c r="C65" s="267" t="s">
        <v>1276</v>
      </c>
      <c r="D65" s="220" t="str">
        <f t="shared" si="1"/>
        <v>三河100き1737</v>
      </c>
      <c r="E65" s="219" t="s">
        <v>1458</v>
      </c>
      <c r="F65" s="219" t="s">
        <v>839</v>
      </c>
      <c r="G65" s="219" t="s">
        <v>1843</v>
      </c>
      <c r="H65" s="223" t="s">
        <v>665</v>
      </c>
      <c r="I65" s="221" t="s">
        <v>1510</v>
      </c>
      <c r="J65" s="221" t="s">
        <v>1511</v>
      </c>
      <c r="K65" s="219" t="s">
        <v>1839</v>
      </c>
      <c r="L65" s="220" t="s">
        <v>532</v>
      </c>
      <c r="M65" s="220" t="s">
        <v>1847</v>
      </c>
      <c r="N65" s="195">
        <v>43672</v>
      </c>
      <c r="O65" s="226">
        <v>133380</v>
      </c>
      <c r="P65" s="219" t="s">
        <v>1294</v>
      </c>
      <c r="Q65" s="219" t="s">
        <v>1275</v>
      </c>
      <c r="R65" s="227">
        <v>5098</v>
      </c>
      <c r="S65" s="219" t="s">
        <v>1245</v>
      </c>
      <c r="T65" s="219" t="s">
        <v>1839</v>
      </c>
      <c r="U65" s="219" t="s">
        <v>1839</v>
      </c>
      <c r="V65" s="219" t="s">
        <v>1839</v>
      </c>
      <c r="W65" s="219" t="s">
        <v>1839</v>
      </c>
      <c r="X65" s="219" t="s">
        <v>1839</v>
      </c>
      <c r="Y65" s="226" t="s">
        <v>1839</v>
      </c>
      <c r="Z65" s="219" t="s">
        <v>254</v>
      </c>
      <c r="AA65" s="219" t="s">
        <v>1839</v>
      </c>
      <c r="AB65" s="219" t="s">
        <v>254</v>
      </c>
      <c r="AC65" s="219" t="s">
        <v>1839</v>
      </c>
      <c r="AD65" s="219" t="s">
        <v>1839</v>
      </c>
      <c r="AE65" s="260">
        <v>371200</v>
      </c>
      <c r="AF65" s="260" t="s">
        <v>1839</v>
      </c>
      <c r="AG65" s="260">
        <v>510700</v>
      </c>
      <c r="AH65" s="260" t="s">
        <v>1839</v>
      </c>
      <c r="AI65" s="260" t="s">
        <v>1839</v>
      </c>
      <c r="AJ65" s="260" t="s">
        <v>1839</v>
      </c>
    </row>
    <row r="66" spans="1:36" ht="22.5">
      <c r="A66" s="224">
        <v>1806</v>
      </c>
      <c r="B66" s="223" t="s">
        <v>1885</v>
      </c>
      <c r="C66" s="267" t="s">
        <v>1516</v>
      </c>
      <c r="D66" s="220" t="str">
        <f t="shared" ref="D66:D97" si="2">CONCATENATE(B66,A66)</f>
        <v>三河100き1806</v>
      </c>
      <c r="E66" s="224" t="s">
        <v>1513</v>
      </c>
      <c r="F66" s="224" t="s">
        <v>664</v>
      </c>
      <c r="G66" s="224" t="s">
        <v>1843</v>
      </c>
      <c r="H66" s="223" t="s">
        <v>680</v>
      </c>
      <c r="I66" s="232" t="s">
        <v>1514</v>
      </c>
      <c r="J66" s="232" t="s">
        <v>1515</v>
      </c>
      <c r="K66" s="223" t="s">
        <v>170</v>
      </c>
      <c r="L66" s="279" t="s">
        <v>162</v>
      </c>
      <c r="M66" s="220" t="s">
        <v>1839</v>
      </c>
      <c r="N66" s="220" t="s">
        <v>1839</v>
      </c>
      <c r="O66" s="222" t="s">
        <v>1839</v>
      </c>
      <c r="P66" s="223" t="s">
        <v>1294</v>
      </c>
      <c r="Q66" s="219" t="s">
        <v>1275</v>
      </c>
      <c r="R66" s="225" t="s">
        <v>405</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323</v>
      </c>
      <c r="AE66" s="260" t="s">
        <v>1839</v>
      </c>
      <c r="AF66" s="260">
        <v>422400</v>
      </c>
      <c r="AG66" s="260">
        <v>529300</v>
      </c>
      <c r="AH66" s="260" t="s">
        <v>1839</v>
      </c>
      <c r="AI66" s="260" t="s">
        <v>1839</v>
      </c>
      <c r="AJ66" s="260" t="s">
        <v>1839</v>
      </c>
    </row>
    <row r="67" spans="1:36">
      <c r="A67" s="223">
        <v>1807</v>
      </c>
      <c r="B67" s="223" t="s">
        <v>1512</v>
      </c>
      <c r="C67" s="267" t="s">
        <v>1518</v>
      </c>
      <c r="D67" s="220" t="str">
        <f t="shared" si="2"/>
        <v>三河100き1807</v>
      </c>
      <c r="E67" s="224" t="s">
        <v>1316</v>
      </c>
      <c r="F67" s="223" t="s">
        <v>684</v>
      </c>
      <c r="G67" s="224" t="s">
        <v>1843</v>
      </c>
      <c r="H67" s="223" t="s">
        <v>685</v>
      </c>
      <c r="I67" s="224" t="s">
        <v>1517</v>
      </c>
      <c r="J67" s="224" t="s">
        <v>1303</v>
      </c>
      <c r="K67" s="224" t="s">
        <v>178</v>
      </c>
      <c r="L67" s="279" t="s">
        <v>162</v>
      </c>
      <c r="M67" s="220" t="s">
        <v>1839</v>
      </c>
      <c r="N67" s="220" t="s">
        <v>1839</v>
      </c>
      <c r="O67" s="222" t="s">
        <v>1839</v>
      </c>
      <c r="P67" s="223" t="s">
        <v>1294</v>
      </c>
      <c r="Q67" s="219" t="s">
        <v>1275</v>
      </c>
      <c r="R67" s="225" t="s">
        <v>1839</v>
      </c>
      <c r="S67" s="219" t="s">
        <v>1245</v>
      </c>
      <c r="T67" s="224" t="s">
        <v>1382</v>
      </c>
      <c r="U67" s="220" t="s">
        <v>1839</v>
      </c>
      <c r="V67" s="220" t="s">
        <v>1839</v>
      </c>
      <c r="W67" s="219" t="s">
        <v>1839</v>
      </c>
      <c r="X67" s="219" t="s">
        <v>1839</v>
      </c>
      <c r="Y67" s="222" t="s">
        <v>1839</v>
      </c>
      <c r="Z67" s="219" t="s">
        <v>254</v>
      </c>
      <c r="AA67" s="219" t="s">
        <v>1839</v>
      </c>
      <c r="AB67" s="219" t="s">
        <v>254</v>
      </c>
      <c r="AC67" s="219" t="s">
        <v>163</v>
      </c>
      <c r="AD67" s="223" t="s">
        <v>1387</v>
      </c>
      <c r="AE67" s="260" t="s">
        <v>1839</v>
      </c>
      <c r="AF67" s="260">
        <v>847200</v>
      </c>
      <c r="AG67" s="260">
        <v>866500</v>
      </c>
      <c r="AH67" s="260" t="s">
        <v>1839</v>
      </c>
      <c r="AI67" s="260" t="s">
        <v>1839</v>
      </c>
      <c r="AJ67" s="260" t="s">
        <v>1839</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1839</v>
      </c>
      <c r="L68" s="280" t="s">
        <v>1840</v>
      </c>
      <c r="M68" s="219" t="s">
        <v>1839</v>
      </c>
      <c r="N68" s="219" t="s">
        <v>1839</v>
      </c>
      <c r="O68" s="226" t="s">
        <v>1839</v>
      </c>
      <c r="P68" s="219" t="s">
        <v>1294</v>
      </c>
      <c r="Q68" s="219" t="s">
        <v>1275</v>
      </c>
      <c r="R68" s="227">
        <v>4005056</v>
      </c>
      <c r="S68" s="219" t="s">
        <v>1245</v>
      </c>
      <c r="T68" s="219" t="s">
        <v>1839</v>
      </c>
      <c r="U68" s="219" t="s">
        <v>1839</v>
      </c>
      <c r="V68" s="219" t="s">
        <v>1839</v>
      </c>
      <c r="W68" s="219" t="s">
        <v>1839</v>
      </c>
      <c r="X68" s="219" t="s">
        <v>1839</v>
      </c>
      <c r="Y68" s="226" t="s">
        <v>1839</v>
      </c>
      <c r="Z68" s="219" t="s">
        <v>254</v>
      </c>
      <c r="AA68" s="219" t="s">
        <v>1839</v>
      </c>
      <c r="AB68" s="219" t="s">
        <v>254</v>
      </c>
      <c r="AC68" s="219" t="s">
        <v>1839</v>
      </c>
      <c r="AD68" s="219" t="s">
        <v>1839</v>
      </c>
      <c r="AE68" s="260" t="s">
        <v>1839</v>
      </c>
      <c r="AF68" s="260" t="s">
        <v>1839</v>
      </c>
      <c r="AG68" s="260" t="s">
        <v>1839</v>
      </c>
      <c r="AH68" s="260" t="s">
        <v>1839</v>
      </c>
      <c r="AI68" s="260" t="s">
        <v>1839</v>
      </c>
      <c r="AJ68" s="260" t="s">
        <v>1839</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v>1001700</v>
      </c>
      <c r="AF69" s="260">
        <v>1023900</v>
      </c>
      <c r="AG69" s="260" t="s">
        <v>1839</v>
      </c>
      <c r="AH69" s="260" t="s">
        <v>1839</v>
      </c>
      <c r="AI69" s="260" t="s">
        <v>1839</v>
      </c>
      <c r="AJ69" s="260" t="s">
        <v>1839</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1839</v>
      </c>
      <c r="N70" s="220" t="s">
        <v>1839</v>
      </c>
      <c r="O70" s="222" t="s">
        <v>1839</v>
      </c>
      <c r="P70" s="223" t="s">
        <v>1294</v>
      </c>
      <c r="Q70" s="219" t="s">
        <v>1275</v>
      </c>
      <c r="R70" s="225" t="s">
        <v>1839</v>
      </c>
      <c r="S70" s="219" t="s">
        <v>1245</v>
      </c>
      <c r="T70" s="224" t="s">
        <v>1495</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522500</v>
      </c>
      <c r="AG70" s="260">
        <v>540100</v>
      </c>
      <c r="AH70" s="260" t="s">
        <v>1839</v>
      </c>
      <c r="AI70" s="260" t="s">
        <v>1839</v>
      </c>
      <c r="AJ70" s="260" t="s">
        <v>1839</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1839</v>
      </c>
      <c r="N71" s="220" t="s">
        <v>1839</v>
      </c>
      <c r="O71" s="222" t="s">
        <v>1839</v>
      </c>
      <c r="P71" s="223" t="s">
        <v>1294</v>
      </c>
      <c r="Q71" s="219" t="s">
        <v>1275</v>
      </c>
      <c r="R71" s="225" t="s">
        <v>1839</v>
      </c>
      <c r="S71" s="219" t="s">
        <v>1245</v>
      </c>
      <c r="T71" s="224" t="s">
        <v>1296</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352000</v>
      </c>
      <c r="AG71" s="260">
        <v>381600</v>
      </c>
      <c r="AH71" s="260" t="s">
        <v>1839</v>
      </c>
      <c r="AI71" s="260" t="s">
        <v>1839</v>
      </c>
      <c r="AJ71" s="260" t="s">
        <v>1839</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t="s">
        <v>1839</v>
      </c>
      <c r="AF72" s="260">
        <v>360500</v>
      </c>
      <c r="AG72" s="260">
        <v>364200</v>
      </c>
      <c r="AH72" s="260" t="s">
        <v>1839</v>
      </c>
      <c r="AI72" s="260" t="s">
        <v>1839</v>
      </c>
      <c r="AJ72" s="260" t="s">
        <v>1839</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1839</v>
      </c>
      <c r="N73" s="220" t="s">
        <v>1839</v>
      </c>
      <c r="O73" s="222" t="s">
        <v>1839</v>
      </c>
      <c r="P73" s="223" t="s">
        <v>1294</v>
      </c>
      <c r="Q73" s="219" t="s">
        <v>1275</v>
      </c>
      <c r="R73" s="225" t="s">
        <v>1839</v>
      </c>
      <c r="S73" s="219" t="s">
        <v>1245</v>
      </c>
      <c r="T73" s="224" t="s">
        <v>1495</v>
      </c>
      <c r="U73" s="220" t="s">
        <v>1839</v>
      </c>
      <c r="V73" s="220" t="s">
        <v>1839</v>
      </c>
      <c r="W73" s="219" t="s">
        <v>1839</v>
      </c>
      <c r="X73" s="219" t="s">
        <v>1839</v>
      </c>
      <c r="Y73" s="222" t="s">
        <v>1839</v>
      </c>
      <c r="Z73" s="219" t="s">
        <v>254</v>
      </c>
      <c r="AA73" s="219" t="s">
        <v>1839</v>
      </c>
      <c r="AB73" s="219" t="s">
        <v>254</v>
      </c>
      <c r="AC73" s="219" t="s">
        <v>163</v>
      </c>
      <c r="AD73" s="223" t="s">
        <v>323</v>
      </c>
      <c r="AE73" s="260">
        <v>267100</v>
      </c>
      <c r="AF73" s="260">
        <v>315800</v>
      </c>
      <c r="AG73" s="260" t="s">
        <v>1839</v>
      </c>
      <c r="AH73" s="260" t="s">
        <v>1839</v>
      </c>
      <c r="AI73" s="260" t="s">
        <v>1839</v>
      </c>
      <c r="AJ73" s="260" t="s">
        <v>1839</v>
      </c>
    </row>
    <row r="74" spans="1:36">
      <c r="A74" s="220">
        <v>869</v>
      </c>
      <c r="B74" s="220" t="s">
        <v>1500</v>
      </c>
      <c r="C74" s="267" t="s">
        <v>1276</v>
      </c>
      <c r="D74" s="220" t="str">
        <f t="shared" si="2"/>
        <v>三河100き869</v>
      </c>
      <c r="E74" s="219" t="s">
        <v>362</v>
      </c>
      <c r="F74" s="220" t="s">
        <v>616</v>
      </c>
      <c r="G74" s="220" t="s">
        <v>361</v>
      </c>
      <c r="H74" s="220" t="s">
        <v>617</v>
      </c>
      <c r="I74" s="220" t="s">
        <v>1839</v>
      </c>
      <c r="J74" s="220" t="s">
        <v>1839</v>
      </c>
      <c r="K74" s="220" t="s">
        <v>363</v>
      </c>
      <c r="L74" s="220" t="s">
        <v>532</v>
      </c>
      <c r="M74" s="220" t="s">
        <v>1844</v>
      </c>
      <c r="N74" s="195">
        <v>41981</v>
      </c>
      <c r="O74" s="222">
        <v>142590</v>
      </c>
      <c r="P74" s="223" t="s">
        <v>400</v>
      </c>
      <c r="Q74" s="219" t="s">
        <v>401</v>
      </c>
      <c r="R74" s="225" t="s">
        <v>1839</v>
      </c>
      <c r="S74" s="219" t="s">
        <v>1245</v>
      </c>
      <c r="T74" s="219" t="s">
        <v>1495</v>
      </c>
      <c r="U74" s="220" t="s">
        <v>1839</v>
      </c>
      <c r="V74" s="220" t="s">
        <v>1839</v>
      </c>
      <c r="W74" s="219" t="s">
        <v>1839</v>
      </c>
      <c r="X74" s="219" t="s">
        <v>1839</v>
      </c>
      <c r="Y74" s="222" t="s">
        <v>1839</v>
      </c>
      <c r="Z74" s="219" t="s">
        <v>254</v>
      </c>
      <c r="AA74" s="219" t="s">
        <v>1839</v>
      </c>
      <c r="AB74" s="219" t="s">
        <v>254</v>
      </c>
      <c r="AC74" s="219" t="s">
        <v>163</v>
      </c>
      <c r="AD74" s="223" t="s">
        <v>323</v>
      </c>
      <c r="AE74" s="260" t="s">
        <v>1839</v>
      </c>
      <c r="AF74" s="260">
        <v>274300</v>
      </c>
      <c r="AG74" s="260">
        <v>387500</v>
      </c>
      <c r="AH74" s="260" t="s">
        <v>1839</v>
      </c>
      <c r="AI74" s="260" t="s">
        <v>1839</v>
      </c>
      <c r="AJ74" s="260" t="s">
        <v>1839</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1839</v>
      </c>
      <c r="L75" s="219" t="s">
        <v>1543</v>
      </c>
      <c r="M75" s="219" t="s">
        <v>1852</v>
      </c>
      <c r="N75" s="196">
        <v>43401</v>
      </c>
      <c r="O75" s="226">
        <v>207375</v>
      </c>
      <c r="P75" s="219" t="s">
        <v>1294</v>
      </c>
      <c r="Q75" s="219" t="s">
        <v>1275</v>
      </c>
      <c r="R75" s="219" t="s">
        <v>1560</v>
      </c>
      <c r="S75" s="219" t="s">
        <v>1252</v>
      </c>
      <c r="T75" s="219" t="s">
        <v>1839</v>
      </c>
      <c r="U75" s="219" t="s">
        <v>1839</v>
      </c>
      <c r="V75" s="219" t="s">
        <v>1839</v>
      </c>
      <c r="W75" s="219" t="s">
        <v>1839</v>
      </c>
      <c r="X75" s="219" t="s">
        <v>1839</v>
      </c>
      <c r="Y75" s="226" t="s">
        <v>1839</v>
      </c>
      <c r="Z75" s="219" t="s">
        <v>1805</v>
      </c>
      <c r="AA75" s="219" t="s">
        <v>1839</v>
      </c>
      <c r="AB75" s="219" t="s">
        <v>254</v>
      </c>
      <c r="AC75" s="219" t="s">
        <v>1839</v>
      </c>
      <c r="AD75" s="219" t="s">
        <v>1839</v>
      </c>
      <c r="AE75" s="260" t="s">
        <v>1839</v>
      </c>
      <c r="AF75" s="260" t="s">
        <v>1839</v>
      </c>
      <c r="AG75" s="260">
        <v>47900</v>
      </c>
      <c r="AH75" s="260" t="s">
        <v>1839</v>
      </c>
      <c r="AI75" s="260" t="s">
        <v>1839</v>
      </c>
      <c r="AJ75" s="260" t="s">
        <v>1839</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1839</v>
      </c>
      <c r="L76" s="219" t="s">
        <v>1543</v>
      </c>
      <c r="M76" s="219" t="s">
        <v>1852</v>
      </c>
      <c r="N76" s="196">
        <v>43430</v>
      </c>
      <c r="O76" s="226">
        <v>207375</v>
      </c>
      <c r="P76" s="219" t="s">
        <v>1294</v>
      </c>
      <c r="Q76" s="219" t="s">
        <v>1275</v>
      </c>
      <c r="R76" s="219" t="s">
        <v>1561</v>
      </c>
      <c r="S76" s="219" t="s">
        <v>1252</v>
      </c>
      <c r="T76" s="219" t="s">
        <v>1839</v>
      </c>
      <c r="U76" s="219" t="s">
        <v>1839</v>
      </c>
      <c r="V76" s="219" t="s">
        <v>1839</v>
      </c>
      <c r="W76" s="219" t="s">
        <v>1839</v>
      </c>
      <c r="X76" s="219" t="s">
        <v>1839</v>
      </c>
      <c r="Y76" s="226" t="s">
        <v>1839</v>
      </c>
      <c r="Z76" s="219" t="s">
        <v>1805</v>
      </c>
      <c r="AA76" s="219" t="s">
        <v>1839</v>
      </c>
      <c r="AB76" s="219" t="s">
        <v>254</v>
      </c>
      <c r="AC76" s="219" t="s">
        <v>1839</v>
      </c>
      <c r="AD76" s="219" t="s">
        <v>1839</v>
      </c>
      <c r="AE76" s="260" t="s">
        <v>1839</v>
      </c>
      <c r="AF76" s="260" t="s">
        <v>1839</v>
      </c>
      <c r="AG76" s="260" t="s">
        <v>1839</v>
      </c>
      <c r="AH76" s="260" t="s">
        <v>1839</v>
      </c>
      <c r="AI76" s="260" t="s">
        <v>1839</v>
      </c>
      <c r="AJ76" s="260" t="s">
        <v>1839</v>
      </c>
    </row>
    <row r="77" spans="1:36">
      <c r="A77" s="220">
        <v>2479</v>
      </c>
      <c r="B77" s="220" t="s">
        <v>1528</v>
      </c>
      <c r="C77" s="267" t="s">
        <v>1276</v>
      </c>
      <c r="D77" s="220" t="str">
        <f t="shared" si="2"/>
        <v>三河11え2479</v>
      </c>
      <c r="E77" s="219" t="s">
        <v>1529</v>
      </c>
      <c r="F77" s="220" t="s">
        <v>636</v>
      </c>
      <c r="G77" s="220" t="s">
        <v>1858</v>
      </c>
      <c r="H77" s="220" t="s">
        <v>330</v>
      </c>
      <c r="I77" s="220" t="s">
        <v>1530</v>
      </c>
      <c r="J77" s="220" t="s">
        <v>1531</v>
      </c>
      <c r="K77" s="220" t="s">
        <v>351</v>
      </c>
      <c r="L77" s="279" t="s">
        <v>162</v>
      </c>
      <c r="M77" s="220" t="s">
        <v>1839</v>
      </c>
      <c r="N77" s="220" t="s">
        <v>1839</v>
      </c>
      <c r="O77" s="222" t="s">
        <v>1839</v>
      </c>
      <c r="P77" s="223" t="s">
        <v>1294</v>
      </c>
      <c r="Q77" s="219" t="s">
        <v>1839</v>
      </c>
      <c r="R77" s="225" t="s">
        <v>640</v>
      </c>
      <c r="S77" s="219" t="s">
        <v>1245</v>
      </c>
      <c r="T77" s="224" t="s">
        <v>1839</v>
      </c>
      <c r="U77" s="220" t="s">
        <v>1839</v>
      </c>
      <c r="V77" s="220" t="s">
        <v>1839</v>
      </c>
      <c r="W77" s="219" t="s">
        <v>1839</v>
      </c>
      <c r="X77" s="219" t="s">
        <v>1839</v>
      </c>
      <c r="Y77" s="222" t="s">
        <v>1839</v>
      </c>
      <c r="Z77" s="219" t="s">
        <v>254</v>
      </c>
      <c r="AA77" s="219" t="s">
        <v>1839</v>
      </c>
      <c r="AB77" s="219" t="s">
        <v>254</v>
      </c>
      <c r="AC77" s="219" t="s">
        <v>163</v>
      </c>
      <c r="AD77" s="223" t="s">
        <v>323</v>
      </c>
      <c r="AE77" s="260" t="s">
        <v>1839</v>
      </c>
      <c r="AF77" s="260" t="s">
        <v>1839</v>
      </c>
      <c r="AG77" s="260" t="s">
        <v>1839</v>
      </c>
      <c r="AH77" s="260" t="s">
        <v>1839</v>
      </c>
      <c r="AI77" s="260" t="s">
        <v>1839</v>
      </c>
      <c r="AJ77" s="260" t="s">
        <v>1839</v>
      </c>
    </row>
    <row r="78" spans="1:36">
      <c r="A78" s="220">
        <v>1155</v>
      </c>
      <c r="B78" s="220" t="s">
        <v>1236</v>
      </c>
      <c r="C78" s="267" t="s">
        <v>1832</v>
      </c>
      <c r="D78" s="220" t="str">
        <f t="shared" si="2"/>
        <v>三河300る1155</v>
      </c>
      <c r="E78" s="220" t="s">
        <v>1363</v>
      </c>
      <c r="F78" s="220" t="s">
        <v>1190</v>
      </c>
      <c r="G78" s="220" t="s">
        <v>1145</v>
      </c>
      <c r="H78" s="220" t="s">
        <v>1191</v>
      </c>
      <c r="I78" s="219" t="s">
        <v>1839</v>
      </c>
      <c r="J78" s="219" t="s">
        <v>1839</v>
      </c>
      <c r="K78" s="220" t="s">
        <v>1134</v>
      </c>
      <c r="L78" s="220" t="s">
        <v>1193</v>
      </c>
      <c r="M78" s="220" t="s">
        <v>1859</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1192</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c r="A79" s="220">
        <v>4282</v>
      </c>
      <c r="B79" s="220" t="s">
        <v>1238</v>
      </c>
      <c r="C79" s="267" t="s">
        <v>1832</v>
      </c>
      <c r="D79" s="220" t="str">
        <f t="shared" si="2"/>
        <v>三河301め4282</v>
      </c>
      <c r="E79" s="220" t="s">
        <v>1197</v>
      </c>
      <c r="F79" s="220" t="s">
        <v>1198</v>
      </c>
      <c r="G79" s="220" t="s">
        <v>1199</v>
      </c>
      <c r="H79" s="220" t="s">
        <v>1200</v>
      </c>
      <c r="I79" s="219" t="s">
        <v>1839</v>
      </c>
      <c r="J79" s="219" t="s">
        <v>1839</v>
      </c>
      <c r="K79" s="220" t="s">
        <v>1134</v>
      </c>
      <c r="L79" s="220" t="s">
        <v>1161</v>
      </c>
      <c r="M79" s="220" t="s">
        <v>1202</v>
      </c>
      <c r="N79" s="219" t="s">
        <v>1839</v>
      </c>
      <c r="O79" s="234" t="s">
        <v>1839</v>
      </c>
      <c r="P79" s="220" t="s">
        <v>400</v>
      </c>
      <c r="Q79" s="219" t="s">
        <v>1839</v>
      </c>
      <c r="R79" s="219" t="s">
        <v>1839</v>
      </c>
      <c r="S79" s="219" t="s">
        <v>1253</v>
      </c>
      <c r="T79" s="220" t="s">
        <v>1839</v>
      </c>
      <c r="U79" s="219" t="s">
        <v>1839</v>
      </c>
      <c r="V79" s="219" t="s">
        <v>1839</v>
      </c>
      <c r="W79" s="219" t="s">
        <v>1839</v>
      </c>
      <c r="X79" s="219" t="s">
        <v>1839</v>
      </c>
      <c r="Y79" s="235" t="s">
        <v>1201</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19">
        <v>1922</v>
      </c>
      <c r="B80" s="220" t="s">
        <v>1220</v>
      </c>
      <c r="C80" s="267" t="s">
        <v>1276</v>
      </c>
      <c r="D80" s="220" t="str">
        <f t="shared" si="2"/>
        <v>三河301も1922</v>
      </c>
      <c r="E80" s="220" t="s">
        <v>1301</v>
      </c>
      <c r="F80" s="220" t="s">
        <v>1126</v>
      </c>
      <c r="G80" s="220" t="s">
        <v>1398</v>
      </c>
      <c r="H80" s="96" t="s">
        <v>1736</v>
      </c>
      <c r="I80" s="219" t="s">
        <v>1839</v>
      </c>
      <c r="J80" s="219" t="s">
        <v>1839</v>
      </c>
      <c r="K80" s="220" t="s">
        <v>1860</v>
      </c>
      <c r="L80" s="220" t="s">
        <v>1121</v>
      </c>
      <c r="M80" s="220" t="s">
        <v>1121</v>
      </c>
      <c r="N80" s="219" t="s">
        <v>1839</v>
      </c>
      <c r="O80" s="234" t="s">
        <v>1839</v>
      </c>
      <c r="P80" s="220" t="s">
        <v>400</v>
      </c>
      <c r="Q80" s="219" t="s">
        <v>1839</v>
      </c>
      <c r="R80" s="219" t="s">
        <v>1839</v>
      </c>
      <c r="S80" s="219" t="s">
        <v>1254</v>
      </c>
      <c r="T80" s="219" t="s">
        <v>1839</v>
      </c>
      <c r="U80" s="219" t="s">
        <v>1839</v>
      </c>
      <c r="V80" s="219" t="s">
        <v>1839</v>
      </c>
      <c r="W80" s="219" t="s">
        <v>1839</v>
      </c>
      <c r="X80" s="219" t="s">
        <v>1839</v>
      </c>
      <c r="Y80" s="282" t="s">
        <v>1861</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ht="22.5">
      <c r="A81" s="220">
        <v>4225</v>
      </c>
      <c r="B81" s="220" t="s">
        <v>1233</v>
      </c>
      <c r="C81" s="267" t="s">
        <v>1832</v>
      </c>
      <c r="D81" s="220" t="str">
        <f t="shared" si="2"/>
        <v>三河301や4225</v>
      </c>
      <c r="E81" s="220" t="s">
        <v>1297</v>
      </c>
      <c r="F81" s="220" t="s">
        <v>1175</v>
      </c>
      <c r="G81" s="220" t="s">
        <v>1398</v>
      </c>
      <c r="H81" s="220" t="s">
        <v>1176</v>
      </c>
      <c r="I81" s="219" t="s">
        <v>1839</v>
      </c>
      <c r="J81" s="219" t="s">
        <v>1839</v>
      </c>
      <c r="K81" s="220" t="s">
        <v>1860</v>
      </c>
      <c r="L81" s="220" t="s">
        <v>1161</v>
      </c>
      <c r="M81" s="220" t="s">
        <v>1161</v>
      </c>
      <c r="N81" s="219" t="s">
        <v>1839</v>
      </c>
      <c r="O81" s="234" t="s">
        <v>1839</v>
      </c>
      <c r="P81" s="220" t="s">
        <v>400</v>
      </c>
      <c r="Q81" s="219" t="s">
        <v>1839</v>
      </c>
      <c r="R81" s="219" t="s">
        <v>1839</v>
      </c>
      <c r="S81" s="219" t="s">
        <v>1253</v>
      </c>
      <c r="T81" s="220" t="s">
        <v>1839</v>
      </c>
      <c r="U81" s="219" t="s">
        <v>1839</v>
      </c>
      <c r="V81" s="219" t="s">
        <v>1839</v>
      </c>
      <c r="W81" s="219" t="s">
        <v>1839</v>
      </c>
      <c r="X81" s="219" t="s">
        <v>1839</v>
      </c>
      <c r="Y81" s="282" t="s">
        <v>1862</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6511</v>
      </c>
      <c r="B82" s="220" t="s">
        <v>1233</v>
      </c>
      <c r="C82" s="267" t="s">
        <v>1276</v>
      </c>
      <c r="D82" s="220" t="str">
        <f t="shared" si="2"/>
        <v>三河301や6511</v>
      </c>
      <c r="E82" s="220" t="s">
        <v>1171</v>
      </c>
      <c r="F82" s="220" t="s">
        <v>1172</v>
      </c>
      <c r="G82" s="220" t="s">
        <v>1401</v>
      </c>
      <c r="H82" s="220" t="s">
        <v>1173</v>
      </c>
      <c r="I82" s="219" t="s">
        <v>1839</v>
      </c>
      <c r="J82" s="219" t="s">
        <v>1839</v>
      </c>
      <c r="K82" s="220" t="s">
        <v>1860</v>
      </c>
      <c r="L82" s="220" t="s">
        <v>1161</v>
      </c>
      <c r="M82" s="220" t="s">
        <v>1863</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1174</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20">
        <v>9157</v>
      </c>
      <c r="B83" s="220" t="s">
        <v>1233</v>
      </c>
      <c r="C83" s="267" t="s">
        <v>1276</v>
      </c>
      <c r="D83" s="220" t="str">
        <f t="shared" si="2"/>
        <v>三河301や9157</v>
      </c>
      <c r="E83" s="220" t="s">
        <v>1167</v>
      </c>
      <c r="F83" s="220" t="s">
        <v>1168</v>
      </c>
      <c r="G83" s="220" t="s">
        <v>1398</v>
      </c>
      <c r="H83" s="220" t="s">
        <v>1169</v>
      </c>
      <c r="I83" s="219" t="s">
        <v>1839</v>
      </c>
      <c r="J83" s="219" t="s">
        <v>1839</v>
      </c>
      <c r="K83" s="220" t="s">
        <v>1134</v>
      </c>
      <c r="L83" s="220" t="s">
        <v>1161</v>
      </c>
      <c r="M83" s="220" t="s">
        <v>1863</v>
      </c>
      <c r="N83" s="219" t="s">
        <v>1839</v>
      </c>
      <c r="O83" s="234" t="s">
        <v>1839</v>
      </c>
      <c r="P83" s="220" t="s">
        <v>400</v>
      </c>
      <c r="Q83" s="219" t="s">
        <v>1839</v>
      </c>
      <c r="R83" s="219" t="s">
        <v>1839</v>
      </c>
      <c r="S83" s="219" t="s">
        <v>1253</v>
      </c>
      <c r="T83" s="220" t="s">
        <v>1839</v>
      </c>
      <c r="U83" s="219" t="s">
        <v>1839</v>
      </c>
      <c r="V83" s="219" t="s">
        <v>1839</v>
      </c>
      <c r="W83" s="219" t="s">
        <v>1839</v>
      </c>
      <c r="X83" s="219" t="s">
        <v>1839</v>
      </c>
      <c r="Y83" s="235" t="s">
        <v>1170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c r="A84" s="219">
        <v>2395</v>
      </c>
      <c r="B84" s="220" t="s">
        <v>1225</v>
      </c>
      <c r="C84" s="267" t="s">
        <v>1276</v>
      </c>
      <c r="D84" s="220" t="str">
        <f t="shared" si="2"/>
        <v>三河301ゆ2395</v>
      </c>
      <c r="E84" s="220" t="s">
        <v>1138</v>
      </c>
      <c r="F84" s="220" t="s">
        <v>1139</v>
      </c>
      <c r="G84" s="220" t="s">
        <v>1398</v>
      </c>
      <c r="H84" s="75" t="s">
        <v>1762</v>
      </c>
      <c r="I84" s="219" t="s">
        <v>1839</v>
      </c>
      <c r="J84" s="219" t="s">
        <v>1839</v>
      </c>
      <c r="K84" s="220" t="s">
        <v>1134</v>
      </c>
      <c r="L84" s="220" t="s">
        <v>1121</v>
      </c>
      <c r="M84" s="220" t="s">
        <v>1863</v>
      </c>
      <c r="N84" s="219" t="s">
        <v>1839</v>
      </c>
      <c r="O84" s="234" t="s">
        <v>1839</v>
      </c>
      <c r="P84" s="220" t="s">
        <v>400</v>
      </c>
      <c r="Q84" s="219" t="s">
        <v>1839</v>
      </c>
      <c r="R84" s="219" t="s">
        <v>1839</v>
      </c>
      <c r="S84" s="219" t="s">
        <v>1254</v>
      </c>
      <c r="T84" s="219" t="s">
        <v>1839</v>
      </c>
      <c r="U84" s="219" t="s">
        <v>1839</v>
      </c>
      <c r="V84" s="219" t="s">
        <v>1839</v>
      </c>
      <c r="W84" s="219" t="s">
        <v>1839</v>
      </c>
      <c r="X84" s="219" t="s">
        <v>1839</v>
      </c>
      <c r="Y84" s="235" t="s">
        <v>1140</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2474</v>
      </c>
      <c r="B85" s="220" t="s">
        <v>1225</v>
      </c>
      <c r="C85" s="267" t="s">
        <v>1276</v>
      </c>
      <c r="D85" s="220" t="str">
        <f t="shared" si="2"/>
        <v>三河301ゆ2474</v>
      </c>
      <c r="E85" s="220" t="s">
        <v>1316</v>
      </c>
      <c r="F85" s="220" t="s">
        <v>1151</v>
      </c>
      <c r="G85" s="220" t="s">
        <v>1398</v>
      </c>
      <c r="H85" s="75" t="s">
        <v>1785</v>
      </c>
      <c r="I85" s="219" t="s">
        <v>1839</v>
      </c>
      <c r="J85" s="219" t="s">
        <v>1839</v>
      </c>
      <c r="K85" s="220" t="s">
        <v>1860</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1864</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ht="22.5">
      <c r="A86" s="219">
        <v>2</v>
      </c>
      <c r="B86" s="220" t="s">
        <v>1218</v>
      </c>
      <c r="C86" s="267" t="s">
        <v>1276</v>
      </c>
      <c r="D86" s="220" t="str">
        <f t="shared" si="2"/>
        <v>三河305ら2</v>
      </c>
      <c r="E86" s="220" t="s">
        <v>1331</v>
      </c>
      <c r="F86" s="220" t="s">
        <v>1120</v>
      </c>
      <c r="G86" s="220" t="s">
        <v>1398</v>
      </c>
      <c r="H86" s="96" t="s">
        <v>1726</v>
      </c>
      <c r="I86" s="219" t="s">
        <v>1839</v>
      </c>
      <c r="J86" s="219" t="s">
        <v>1839</v>
      </c>
      <c r="K86" s="220" t="s">
        <v>1860</v>
      </c>
      <c r="L86" s="220" t="s">
        <v>1121</v>
      </c>
      <c r="M86" s="220" t="s">
        <v>1121</v>
      </c>
      <c r="N86" s="219" t="s">
        <v>1839</v>
      </c>
      <c r="O86" s="234" t="s">
        <v>1839</v>
      </c>
      <c r="P86" s="220" t="s">
        <v>400</v>
      </c>
      <c r="Q86" s="219" t="s">
        <v>1839</v>
      </c>
      <c r="R86" s="219" t="s">
        <v>1839</v>
      </c>
      <c r="S86" s="219" t="s">
        <v>1254</v>
      </c>
      <c r="T86" s="219" t="s">
        <v>1839</v>
      </c>
      <c r="U86" s="219" t="s">
        <v>1839</v>
      </c>
      <c r="V86" s="219" t="s">
        <v>1839</v>
      </c>
      <c r="W86" s="219" t="s">
        <v>1839</v>
      </c>
      <c r="X86" s="219" t="s">
        <v>1839</v>
      </c>
      <c r="Y86" s="282" t="s">
        <v>1865</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1235</v>
      </c>
      <c r="C87" s="267" t="s">
        <v>1832</v>
      </c>
      <c r="D87" s="220" t="str">
        <f t="shared" si="2"/>
        <v>三河322る1</v>
      </c>
      <c r="E87" s="220" t="s">
        <v>1185</v>
      </c>
      <c r="F87" s="220" t="s">
        <v>1186</v>
      </c>
      <c r="G87" s="220" t="s">
        <v>1187</v>
      </c>
      <c r="H87" s="220" t="s">
        <v>1188</v>
      </c>
      <c r="I87" s="219" t="s">
        <v>1839</v>
      </c>
      <c r="J87" s="219" t="s">
        <v>1839</v>
      </c>
      <c r="K87" s="220" t="s">
        <v>1134</v>
      </c>
      <c r="L87" s="220" t="s">
        <v>1161</v>
      </c>
      <c r="M87" s="220" t="s">
        <v>1161</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1189</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c r="A88" s="220">
        <v>1</v>
      </c>
      <c r="B88" s="220" t="s">
        <v>1234</v>
      </c>
      <c r="C88" s="267" t="s">
        <v>1832</v>
      </c>
      <c r="D88" s="220" t="str">
        <f t="shared" si="2"/>
        <v>三河342み1</v>
      </c>
      <c r="E88" s="220" t="s">
        <v>1177</v>
      </c>
      <c r="F88" s="220" t="s">
        <v>1178</v>
      </c>
      <c r="G88" s="220" t="s">
        <v>1179</v>
      </c>
      <c r="H88" s="220" t="s">
        <v>1180</v>
      </c>
      <c r="I88" s="219" t="s">
        <v>1839</v>
      </c>
      <c r="J88" s="219" t="s">
        <v>1839</v>
      </c>
      <c r="K88" s="220" t="s">
        <v>1134</v>
      </c>
      <c r="L88" s="220" t="s">
        <v>1161</v>
      </c>
      <c r="M88" s="220" t="s">
        <v>1863</v>
      </c>
      <c r="N88" s="219" t="s">
        <v>1839</v>
      </c>
      <c r="O88" s="234" t="s">
        <v>1839</v>
      </c>
      <c r="P88" s="220" t="s">
        <v>400</v>
      </c>
      <c r="Q88" s="219" t="s">
        <v>1839</v>
      </c>
      <c r="R88" s="219" t="s">
        <v>1839</v>
      </c>
      <c r="S88" s="219" t="s">
        <v>1253</v>
      </c>
      <c r="T88" s="220" t="s">
        <v>1839</v>
      </c>
      <c r="U88" s="219" t="s">
        <v>1839</v>
      </c>
      <c r="V88" s="219" t="s">
        <v>1839</v>
      </c>
      <c r="W88" s="219" t="s">
        <v>1839</v>
      </c>
      <c r="X88" s="219" t="s">
        <v>1839</v>
      </c>
      <c r="Y88" s="235" t="s">
        <v>1181</v>
      </c>
      <c r="Z88" s="219" t="s">
        <v>1839</v>
      </c>
      <c r="AA88" s="219" t="s">
        <v>1806</v>
      </c>
      <c r="AB88" s="219" t="s">
        <v>254</v>
      </c>
      <c r="AC88" s="219" t="s">
        <v>1839</v>
      </c>
      <c r="AD88" s="219" t="s">
        <v>1839</v>
      </c>
      <c r="AE88" s="260" t="s">
        <v>1839</v>
      </c>
      <c r="AF88" s="260" t="s">
        <v>1839</v>
      </c>
      <c r="AG88" s="260" t="s">
        <v>1839</v>
      </c>
      <c r="AH88" s="260" t="s">
        <v>1839</v>
      </c>
      <c r="AI88" s="260" t="s">
        <v>1839</v>
      </c>
      <c r="AJ88" s="260" t="s">
        <v>1839</v>
      </c>
    </row>
    <row r="89" spans="1:36" ht="22.5">
      <c r="A89" s="214">
        <v>1416</v>
      </c>
      <c r="B89" s="214" t="s">
        <v>1281</v>
      </c>
      <c r="C89" s="214" t="s">
        <v>1836</v>
      </c>
      <c r="D89" s="214" t="str">
        <f t="shared" si="2"/>
        <v>三河400あ1416</v>
      </c>
      <c r="E89" s="214" t="s">
        <v>1283</v>
      </c>
      <c r="F89" s="214" t="s">
        <v>1284</v>
      </c>
      <c r="G89" s="214" t="s">
        <v>1282</v>
      </c>
      <c r="H89" s="214" t="s">
        <v>1834</v>
      </c>
      <c r="I89" s="215" t="s">
        <v>1286</v>
      </c>
      <c r="J89" s="215" t="s">
        <v>1287</v>
      </c>
      <c r="K89" s="214" t="s">
        <v>1285</v>
      </c>
      <c r="L89" s="214" t="s">
        <v>1161</v>
      </c>
      <c r="M89" s="214" t="s">
        <v>1161</v>
      </c>
      <c r="N89" s="214" t="s">
        <v>1839</v>
      </c>
      <c r="O89" s="218" t="s">
        <v>1839</v>
      </c>
      <c r="P89" s="214" t="s">
        <v>1274</v>
      </c>
      <c r="Q89" s="214" t="s">
        <v>1275</v>
      </c>
      <c r="R89" s="214" t="s">
        <v>1839</v>
      </c>
      <c r="S89" s="214" t="s">
        <v>1258</v>
      </c>
      <c r="T89" s="214" t="s">
        <v>1839</v>
      </c>
      <c r="U89" s="214" t="s">
        <v>1839</v>
      </c>
      <c r="V89" s="214" t="s">
        <v>1839</v>
      </c>
      <c r="W89" s="214" t="s">
        <v>1839</v>
      </c>
      <c r="X89" s="214" t="s">
        <v>1839</v>
      </c>
      <c r="Y89" s="281" t="s">
        <v>1866</v>
      </c>
      <c r="Z89" s="214" t="s">
        <v>254</v>
      </c>
      <c r="AA89" s="214" t="s">
        <v>1839</v>
      </c>
      <c r="AB89" s="214" t="s">
        <v>254</v>
      </c>
      <c r="AC89" s="214" t="s">
        <v>1839</v>
      </c>
      <c r="AD89" s="214" t="s">
        <v>1839</v>
      </c>
      <c r="AE89" s="214" t="s">
        <v>1839</v>
      </c>
      <c r="AF89" s="214" t="s">
        <v>1839</v>
      </c>
      <c r="AG89" s="214" t="s">
        <v>1839</v>
      </c>
      <c r="AH89" s="214" t="s">
        <v>1839</v>
      </c>
      <c r="AI89" s="214" t="s">
        <v>1839</v>
      </c>
      <c r="AJ89" s="214" t="s">
        <v>1839</v>
      </c>
    </row>
    <row r="90" spans="1:36" ht="33.75">
      <c r="A90" s="219">
        <v>9147</v>
      </c>
      <c r="B90" s="220" t="s">
        <v>1221</v>
      </c>
      <c r="C90" s="268" t="s">
        <v>1822</v>
      </c>
      <c r="D90" s="220" t="str">
        <f t="shared" si="2"/>
        <v>三河400と9147</v>
      </c>
      <c r="E90" s="220" t="s">
        <v>1399</v>
      </c>
      <c r="F90" s="220" t="s">
        <v>1400</v>
      </c>
      <c r="G90" s="220" t="s">
        <v>1398</v>
      </c>
      <c r="H90" s="220" t="s">
        <v>1127</v>
      </c>
      <c r="I90" s="219" t="s">
        <v>1839</v>
      </c>
      <c r="J90" s="219" t="s">
        <v>1839</v>
      </c>
      <c r="K90" s="220" t="s">
        <v>1285</v>
      </c>
      <c r="L90" s="220" t="s">
        <v>1121</v>
      </c>
      <c r="M90" s="220" t="s">
        <v>1121</v>
      </c>
      <c r="N90" s="219" t="s">
        <v>1839</v>
      </c>
      <c r="O90" s="234" t="s">
        <v>1839</v>
      </c>
      <c r="P90" s="220" t="s">
        <v>402</v>
      </c>
      <c r="Q90" s="219" t="s">
        <v>1839</v>
      </c>
      <c r="R90" s="219" t="s">
        <v>1839</v>
      </c>
      <c r="S90" s="219" t="s">
        <v>1254</v>
      </c>
      <c r="T90" s="219" t="s">
        <v>1839</v>
      </c>
      <c r="U90" s="219" t="s">
        <v>1839</v>
      </c>
      <c r="V90" s="219" t="s">
        <v>1839</v>
      </c>
      <c r="W90" s="219" t="s">
        <v>1839</v>
      </c>
      <c r="X90" s="219" t="s">
        <v>1839</v>
      </c>
      <c r="Y90" s="282" t="s">
        <v>1867</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20">
        <v>2967</v>
      </c>
      <c r="B91" s="220" t="s">
        <v>1237</v>
      </c>
      <c r="C91" s="267" t="s">
        <v>1276</v>
      </c>
      <c r="D91" s="220" t="str">
        <f t="shared" si="2"/>
        <v>三河480い2967</v>
      </c>
      <c r="E91" s="220" t="s">
        <v>1355</v>
      </c>
      <c r="F91" s="220" t="s">
        <v>1194</v>
      </c>
      <c r="G91" s="220" t="s">
        <v>1130</v>
      </c>
      <c r="H91" s="220" t="s">
        <v>1195</v>
      </c>
      <c r="I91" s="219" t="s">
        <v>1839</v>
      </c>
      <c r="J91" s="219" t="s">
        <v>1839</v>
      </c>
      <c r="K91" s="220" t="s">
        <v>1868</v>
      </c>
      <c r="L91" s="220" t="s">
        <v>1161</v>
      </c>
      <c r="M91" s="220" t="s">
        <v>1161</v>
      </c>
      <c r="N91" s="219" t="s">
        <v>1839</v>
      </c>
      <c r="O91" s="234" t="s">
        <v>1839</v>
      </c>
      <c r="P91" s="220" t="s">
        <v>1124</v>
      </c>
      <c r="Q91" s="219" t="s">
        <v>1839</v>
      </c>
      <c r="R91" s="219" t="s">
        <v>1839</v>
      </c>
      <c r="S91" s="219" t="s">
        <v>1253</v>
      </c>
      <c r="T91" s="220" t="s">
        <v>1839</v>
      </c>
      <c r="U91" s="219" t="s">
        <v>1839</v>
      </c>
      <c r="V91" s="219" t="s">
        <v>1839</v>
      </c>
      <c r="W91" s="219" t="s">
        <v>1839</v>
      </c>
      <c r="X91" s="219" t="s">
        <v>1839</v>
      </c>
      <c r="Y91" s="235" t="s">
        <v>1196</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19">
        <v>266</v>
      </c>
      <c r="B92" s="220" t="s">
        <v>1219</v>
      </c>
      <c r="C92" s="267" t="s">
        <v>1276</v>
      </c>
      <c r="D92" s="220" t="str">
        <f t="shared" si="2"/>
        <v>三河480き266</v>
      </c>
      <c r="E92" s="220" t="s">
        <v>1122</v>
      </c>
      <c r="F92" s="220" t="s">
        <v>1123</v>
      </c>
      <c r="G92" s="220" t="s">
        <v>1304</v>
      </c>
      <c r="H92" s="96" t="s">
        <v>1732</v>
      </c>
      <c r="I92" s="219" t="s">
        <v>1839</v>
      </c>
      <c r="J92" s="219" t="s">
        <v>1839</v>
      </c>
      <c r="K92" s="220" t="s">
        <v>1285</v>
      </c>
      <c r="L92" s="220" t="s">
        <v>1121</v>
      </c>
      <c r="M92" s="220" t="s">
        <v>1121</v>
      </c>
      <c r="N92" s="219" t="s">
        <v>1839</v>
      </c>
      <c r="O92" s="234" t="s">
        <v>1839</v>
      </c>
      <c r="P92" s="220" t="s">
        <v>1124</v>
      </c>
      <c r="Q92" s="219" t="s">
        <v>1839</v>
      </c>
      <c r="R92" s="219" t="s">
        <v>1839</v>
      </c>
      <c r="S92" s="219" t="s">
        <v>1254</v>
      </c>
      <c r="T92" s="219" t="s">
        <v>1839</v>
      </c>
      <c r="U92" s="219" t="s">
        <v>1839</v>
      </c>
      <c r="V92" s="219" t="s">
        <v>1839</v>
      </c>
      <c r="W92" s="219" t="s">
        <v>1839</v>
      </c>
      <c r="X92" s="219" t="s">
        <v>1839</v>
      </c>
      <c r="Y92" s="235" t="s">
        <v>1125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c r="A93" s="220">
        <v>7169</v>
      </c>
      <c r="B93" s="220" t="s">
        <v>1219</v>
      </c>
      <c r="C93" s="267" t="s">
        <v>1832</v>
      </c>
      <c r="D93" s="220" t="str">
        <f t="shared" si="2"/>
        <v>三河480き7169</v>
      </c>
      <c r="E93" s="220" t="s">
        <v>1167</v>
      </c>
      <c r="F93" s="220" t="s">
        <v>1203</v>
      </c>
      <c r="G93" s="220" t="s">
        <v>1304</v>
      </c>
      <c r="H93" s="220" t="s">
        <v>1204</v>
      </c>
      <c r="I93" s="219" t="s">
        <v>1839</v>
      </c>
      <c r="J93" s="219" t="s">
        <v>1839</v>
      </c>
      <c r="K93" s="220" t="s">
        <v>1285</v>
      </c>
      <c r="L93" s="220" t="s">
        <v>1161</v>
      </c>
      <c r="M93" s="220" t="s">
        <v>1869</v>
      </c>
      <c r="N93" s="219" t="s">
        <v>1839</v>
      </c>
      <c r="O93" s="234" t="s">
        <v>1839</v>
      </c>
      <c r="P93" s="220" t="s">
        <v>1124</v>
      </c>
      <c r="Q93" s="219" t="s">
        <v>1839</v>
      </c>
      <c r="R93" s="219" t="s">
        <v>1839</v>
      </c>
      <c r="S93" s="219" t="s">
        <v>1253</v>
      </c>
      <c r="T93" s="220" t="s">
        <v>1839</v>
      </c>
      <c r="U93" s="219" t="s">
        <v>1839</v>
      </c>
      <c r="V93" s="219" t="s">
        <v>1839</v>
      </c>
      <c r="W93" s="219" t="s">
        <v>1839</v>
      </c>
      <c r="X93" s="219" t="s">
        <v>1839</v>
      </c>
      <c r="Y93" s="235" t="s">
        <v>1205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ht="22.5">
      <c r="A94" s="219">
        <v>1679</v>
      </c>
      <c r="B94" s="220" t="s">
        <v>1230</v>
      </c>
      <c r="C94" s="267" t="s">
        <v>1830</v>
      </c>
      <c r="D94" s="220" t="str">
        <f t="shared" si="2"/>
        <v>三河580は1679</v>
      </c>
      <c r="E94" s="220" t="s">
        <v>1152</v>
      </c>
      <c r="F94" s="220" t="s">
        <v>1153</v>
      </c>
      <c r="G94" s="220" t="s">
        <v>1282</v>
      </c>
      <c r="H94" s="220" t="s">
        <v>1154</v>
      </c>
      <c r="I94" s="219" t="s">
        <v>1839</v>
      </c>
      <c r="J94" s="219" t="s">
        <v>1839</v>
      </c>
      <c r="K94" s="220" t="s">
        <v>1134</v>
      </c>
      <c r="L94" s="238" t="s">
        <v>1870</v>
      </c>
      <c r="M94" s="238" t="s">
        <v>1870</v>
      </c>
      <c r="N94" s="219" t="s">
        <v>1839</v>
      </c>
      <c r="O94" s="234" t="s">
        <v>1839</v>
      </c>
      <c r="P94" s="220" t="s">
        <v>1124</v>
      </c>
      <c r="Q94" s="219" t="s">
        <v>1839</v>
      </c>
      <c r="R94" s="219" t="s">
        <v>1839</v>
      </c>
      <c r="S94" s="219" t="s">
        <v>1254</v>
      </c>
      <c r="T94" s="219" t="s">
        <v>1839</v>
      </c>
      <c r="U94" s="219" t="s">
        <v>1839</v>
      </c>
      <c r="V94" s="219" t="s">
        <v>1839</v>
      </c>
      <c r="W94" s="219" t="s">
        <v>1839</v>
      </c>
      <c r="X94" s="219" t="s">
        <v>1839</v>
      </c>
      <c r="Y94" s="235" t="s">
        <v>1155</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1387</v>
      </c>
      <c r="B95" s="220" t="s">
        <v>1232</v>
      </c>
      <c r="C95" s="267" t="s">
        <v>1832</v>
      </c>
      <c r="D95" s="220" t="str">
        <f t="shared" si="2"/>
        <v>三河つ1387</v>
      </c>
      <c r="E95" s="220" t="s">
        <v>1182</v>
      </c>
      <c r="F95" s="220" t="s">
        <v>1162</v>
      </c>
      <c r="G95" s="220" t="s">
        <v>1162</v>
      </c>
      <c r="H95" s="220" t="s">
        <v>1183</v>
      </c>
      <c r="I95" s="219" t="s">
        <v>1839</v>
      </c>
      <c r="J95" s="219" t="s">
        <v>1839</v>
      </c>
      <c r="K95" s="220" t="s">
        <v>1871</v>
      </c>
      <c r="L95" s="220" t="s">
        <v>1161</v>
      </c>
      <c r="M95" s="220" t="s">
        <v>1161</v>
      </c>
      <c r="N95" s="219" t="s">
        <v>1839</v>
      </c>
      <c r="O95" s="234" t="s">
        <v>1839</v>
      </c>
      <c r="P95" s="220" t="s">
        <v>402</v>
      </c>
      <c r="Q95" s="219" t="s">
        <v>1839</v>
      </c>
      <c r="R95" s="219" t="s">
        <v>1839</v>
      </c>
      <c r="S95" s="219" t="s">
        <v>1253</v>
      </c>
      <c r="T95" s="220" t="s">
        <v>1839</v>
      </c>
      <c r="U95" s="219" t="s">
        <v>1839</v>
      </c>
      <c r="V95" s="219" t="s">
        <v>1839</v>
      </c>
      <c r="W95" s="219" t="s">
        <v>1839</v>
      </c>
      <c r="X95" s="219" t="s">
        <v>1839</v>
      </c>
      <c r="Y95" s="235" t="s">
        <v>1184</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0">
        <v>2896</v>
      </c>
      <c r="B96" s="220" t="s">
        <v>1232</v>
      </c>
      <c r="C96" s="267" t="s">
        <v>1832</v>
      </c>
      <c r="D96" s="220" t="str">
        <f t="shared" si="2"/>
        <v>三河つ2896</v>
      </c>
      <c r="E96" s="220" t="s">
        <v>1485</v>
      </c>
      <c r="F96" s="220" t="s">
        <v>1162</v>
      </c>
      <c r="G96" s="220" t="s">
        <v>1145</v>
      </c>
      <c r="H96" s="220" t="s">
        <v>1163</v>
      </c>
      <c r="I96" s="219" t="s">
        <v>1839</v>
      </c>
      <c r="J96" s="219" t="s">
        <v>1839</v>
      </c>
      <c r="K96" s="220" t="s">
        <v>1165</v>
      </c>
      <c r="L96" s="220" t="s">
        <v>1161</v>
      </c>
      <c r="M96" s="220" t="s">
        <v>1161</v>
      </c>
      <c r="N96" s="219" t="s">
        <v>1839</v>
      </c>
      <c r="O96" s="234" t="s">
        <v>1839</v>
      </c>
      <c r="P96" s="220" t="s">
        <v>1164</v>
      </c>
      <c r="Q96" s="219" t="s">
        <v>1839</v>
      </c>
      <c r="R96" s="219" t="s">
        <v>1839</v>
      </c>
      <c r="S96" s="219" t="s">
        <v>1253</v>
      </c>
      <c r="T96" s="220" t="s">
        <v>1839</v>
      </c>
      <c r="U96" s="219" t="s">
        <v>1839</v>
      </c>
      <c r="V96" s="219" t="s">
        <v>1839</v>
      </c>
      <c r="W96" s="219" t="s">
        <v>1839</v>
      </c>
      <c r="X96" s="219" t="s">
        <v>1839</v>
      </c>
      <c r="Y96" s="235" t="s">
        <v>1166</v>
      </c>
      <c r="Z96" s="219" t="s">
        <v>1839</v>
      </c>
      <c r="AA96" s="219" t="s">
        <v>1806</v>
      </c>
      <c r="AB96" s="219" t="s">
        <v>254</v>
      </c>
      <c r="AC96" s="219" t="s">
        <v>1839</v>
      </c>
      <c r="AD96" s="219" t="s">
        <v>1839</v>
      </c>
      <c r="AE96" s="260" t="s">
        <v>1839</v>
      </c>
      <c r="AF96" s="260" t="s">
        <v>1839</v>
      </c>
      <c r="AG96" s="260" t="s">
        <v>1839</v>
      </c>
      <c r="AH96" s="260" t="s">
        <v>1839</v>
      </c>
      <c r="AI96" s="260" t="s">
        <v>1839</v>
      </c>
      <c r="AJ96" s="260" t="s">
        <v>1839</v>
      </c>
    </row>
    <row r="97" spans="1:36">
      <c r="A97" s="223">
        <v>7550</v>
      </c>
      <c r="B97" s="223" t="s">
        <v>1351</v>
      </c>
      <c r="C97" s="267" t="s">
        <v>1276</v>
      </c>
      <c r="D97" s="220" t="str">
        <f t="shared" si="2"/>
        <v>滋賀100あ7550</v>
      </c>
      <c r="E97" s="224" t="s">
        <v>1353</v>
      </c>
      <c r="F97" s="223" t="s">
        <v>729</v>
      </c>
      <c r="G97" s="224" t="s">
        <v>1843</v>
      </c>
      <c r="H97" s="223" t="s">
        <v>730</v>
      </c>
      <c r="I97" s="224" t="s">
        <v>1333</v>
      </c>
      <c r="J97" s="224" t="s">
        <v>1323</v>
      </c>
      <c r="K97" s="224" t="s">
        <v>173</v>
      </c>
      <c r="L97" s="279" t="s">
        <v>162</v>
      </c>
      <c r="M97" s="220" t="s">
        <v>1839</v>
      </c>
      <c r="N97" s="220" t="s">
        <v>1839</v>
      </c>
      <c r="O97" s="222" t="s">
        <v>1839</v>
      </c>
      <c r="P97" s="223" t="s">
        <v>1294</v>
      </c>
      <c r="Q97" s="219" t="s">
        <v>1275</v>
      </c>
      <c r="R97" s="225" t="s">
        <v>1839</v>
      </c>
      <c r="S97" s="219" t="s">
        <v>1246</v>
      </c>
      <c r="T97" s="224" t="s">
        <v>1352</v>
      </c>
      <c r="U97" s="220" t="s">
        <v>1839</v>
      </c>
      <c r="V97" s="220" t="s">
        <v>1839</v>
      </c>
      <c r="W97" s="219" t="s">
        <v>1839</v>
      </c>
      <c r="X97" s="219" t="s">
        <v>1839</v>
      </c>
      <c r="Y97" s="222" t="s">
        <v>1839</v>
      </c>
      <c r="Z97" s="219" t="s">
        <v>254</v>
      </c>
      <c r="AA97" s="219" t="s">
        <v>1839</v>
      </c>
      <c r="AB97" s="219" t="s">
        <v>254</v>
      </c>
      <c r="AC97" s="219" t="s">
        <v>163</v>
      </c>
      <c r="AD97" s="223" t="s">
        <v>323</v>
      </c>
      <c r="AE97" s="260">
        <v>455000</v>
      </c>
      <c r="AF97" s="260">
        <v>575900</v>
      </c>
      <c r="AG97" s="260" t="s">
        <v>1839</v>
      </c>
      <c r="AH97" s="260" t="s">
        <v>1839</v>
      </c>
      <c r="AI97" s="260" t="s">
        <v>1839</v>
      </c>
      <c r="AJ97" s="260" t="s">
        <v>1839</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1839</v>
      </c>
      <c r="L98" s="220" t="s">
        <v>532</v>
      </c>
      <c r="M98" s="220" t="s">
        <v>1844</v>
      </c>
      <c r="N98" s="194">
        <v>42540</v>
      </c>
      <c r="O98" s="226">
        <v>117504</v>
      </c>
      <c r="P98" s="219" t="s">
        <v>1294</v>
      </c>
      <c r="Q98" s="219" t="s">
        <v>1275</v>
      </c>
      <c r="R98" s="219" t="s">
        <v>1839</v>
      </c>
      <c r="S98" s="219" t="s">
        <v>1246</v>
      </c>
      <c r="T98" s="219" t="s">
        <v>1839</v>
      </c>
      <c r="U98" s="219" t="s">
        <v>1839</v>
      </c>
      <c r="V98" s="219" t="s">
        <v>1839</v>
      </c>
      <c r="W98" s="219" t="s">
        <v>1839</v>
      </c>
      <c r="X98" s="219" t="s">
        <v>1839</v>
      </c>
      <c r="Y98" s="226" t="s">
        <v>1839</v>
      </c>
      <c r="Z98" s="219" t="s">
        <v>254</v>
      </c>
      <c r="AA98" s="219" t="s">
        <v>1839</v>
      </c>
      <c r="AB98" s="219" t="s">
        <v>254</v>
      </c>
      <c r="AC98" s="219" t="s">
        <v>1839</v>
      </c>
      <c r="AD98" s="219" t="s">
        <v>1839</v>
      </c>
      <c r="AE98" s="260" t="s">
        <v>1839</v>
      </c>
      <c r="AF98" s="260">
        <v>166200</v>
      </c>
      <c r="AG98" s="260">
        <v>178200</v>
      </c>
      <c r="AH98" s="260" t="s">
        <v>1839</v>
      </c>
      <c r="AI98" s="260" t="s">
        <v>1839</v>
      </c>
      <c r="AJ98" s="260" t="s">
        <v>1839</v>
      </c>
    </row>
    <row r="99" spans="1:36">
      <c r="A99" s="220">
        <v>291</v>
      </c>
      <c r="B99" s="220" t="s">
        <v>1354</v>
      </c>
      <c r="C99" s="267" t="s">
        <v>1826</v>
      </c>
      <c r="D99" s="220" t="str">
        <f t="shared" si="3"/>
        <v>滋賀100い291</v>
      </c>
      <c r="E99" s="219" t="s">
        <v>1359</v>
      </c>
      <c r="F99" s="220" t="s">
        <v>743</v>
      </c>
      <c r="G99" s="220" t="s">
        <v>1304</v>
      </c>
      <c r="H99" s="241" t="s">
        <v>383</v>
      </c>
      <c r="I99" s="220" t="s">
        <v>1360</v>
      </c>
      <c r="J99" s="220" t="s">
        <v>1361</v>
      </c>
      <c r="K99" s="220" t="s">
        <v>381</v>
      </c>
      <c r="L99" s="220" t="s">
        <v>532</v>
      </c>
      <c r="M99" s="220" t="s">
        <v>1847</v>
      </c>
      <c r="N99" s="195">
        <v>42270</v>
      </c>
      <c r="O99" s="222">
        <v>81795</v>
      </c>
      <c r="P99" s="223" t="s">
        <v>1294</v>
      </c>
      <c r="Q99" s="219" t="s">
        <v>1275</v>
      </c>
      <c r="R99" s="225" t="s">
        <v>1839</v>
      </c>
      <c r="S99" s="219" t="s">
        <v>1246</v>
      </c>
      <c r="T99" s="219" t="s">
        <v>1358</v>
      </c>
      <c r="U99" s="220" t="s">
        <v>1839</v>
      </c>
      <c r="V99" s="220" t="s">
        <v>1839</v>
      </c>
      <c r="W99" s="219" t="s">
        <v>1839</v>
      </c>
      <c r="X99" s="219" t="s">
        <v>1839</v>
      </c>
      <c r="Y99" s="222" t="s">
        <v>1839</v>
      </c>
      <c r="Z99" s="219" t="s">
        <v>254</v>
      </c>
      <c r="AA99" s="219" t="s">
        <v>1839</v>
      </c>
      <c r="AB99" s="219" t="s">
        <v>254</v>
      </c>
      <c r="AC99" s="219" t="s">
        <v>163</v>
      </c>
      <c r="AD99" s="223" t="s">
        <v>323</v>
      </c>
      <c r="AE99" s="260">
        <v>358400</v>
      </c>
      <c r="AF99" s="260">
        <v>394300</v>
      </c>
      <c r="AG99" s="260" t="s">
        <v>1839</v>
      </c>
      <c r="AH99" s="260" t="s">
        <v>1839</v>
      </c>
      <c r="AI99" s="260" t="s">
        <v>1839</v>
      </c>
      <c r="AJ99" s="260" t="s">
        <v>1839</v>
      </c>
    </row>
    <row r="100" spans="1:36">
      <c r="A100" s="220">
        <v>453</v>
      </c>
      <c r="B100" s="220" t="s">
        <v>1362</v>
      </c>
      <c r="C100" s="267" t="s">
        <v>1276</v>
      </c>
      <c r="D100" s="220" t="str">
        <f t="shared" si="3"/>
        <v>滋賀100え453</v>
      </c>
      <c r="E100" s="219" t="s">
        <v>1363</v>
      </c>
      <c r="F100" s="220" t="s">
        <v>701</v>
      </c>
      <c r="G100" s="220" t="s">
        <v>1855</v>
      </c>
      <c r="H100" s="220" t="s">
        <v>703</v>
      </c>
      <c r="I100" s="220" t="s">
        <v>1364</v>
      </c>
      <c r="J100" s="220" t="s">
        <v>1365</v>
      </c>
      <c r="K100" s="220" t="s">
        <v>357</v>
      </c>
      <c r="L100" s="279" t="s">
        <v>162</v>
      </c>
      <c r="M100" s="220" t="s">
        <v>1839</v>
      </c>
      <c r="N100" s="220" t="s">
        <v>1839</v>
      </c>
      <c r="O100" s="222" t="s">
        <v>1839</v>
      </c>
      <c r="P100" s="223" t="s">
        <v>1294</v>
      </c>
      <c r="Q100" s="219" t="s">
        <v>1839</v>
      </c>
      <c r="R100" s="225" t="s">
        <v>1839</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0">
        <v>459</v>
      </c>
      <c r="B101" s="220" t="s">
        <v>1362</v>
      </c>
      <c r="C101" s="267" t="s">
        <v>1276</v>
      </c>
      <c r="D101" s="220" t="str">
        <f t="shared" si="3"/>
        <v>滋賀100え459</v>
      </c>
      <c r="E101" s="219" t="s">
        <v>1331</v>
      </c>
      <c r="F101" s="220" t="s">
        <v>707</v>
      </c>
      <c r="G101" s="220" t="s">
        <v>1856</v>
      </c>
      <c r="H101" s="220" t="s">
        <v>709</v>
      </c>
      <c r="I101" s="220" t="s">
        <v>1366</v>
      </c>
      <c r="J101" s="220" t="s">
        <v>1367</v>
      </c>
      <c r="K101" s="220" t="s">
        <v>354</v>
      </c>
      <c r="L101" s="279" t="s">
        <v>162</v>
      </c>
      <c r="M101" s="220" t="s">
        <v>1839</v>
      </c>
      <c r="N101" s="220" t="s">
        <v>1839</v>
      </c>
      <c r="O101" s="222" t="s">
        <v>1839</v>
      </c>
      <c r="P101" s="223" t="s">
        <v>1294</v>
      </c>
      <c r="Q101" s="219" t="s">
        <v>1839</v>
      </c>
      <c r="R101" s="225" t="s">
        <v>640</v>
      </c>
      <c r="S101" s="219" t="s">
        <v>1246</v>
      </c>
      <c r="T101" s="224" t="s">
        <v>1839</v>
      </c>
      <c r="U101" s="220" t="s">
        <v>1839</v>
      </c>
      <c r="V101" s="220" t="s">
        <v>1839</v>
      </c>
      <c r="W101" s="219" t="s">
        <v>1839</v>
      </c>
      <c r="X101" s="219" t="s">
        <v>1839</v>
      </c>
      <c r="Y101" s="222" t="s">
        <v>1839</v>
      </c>
      <c r="Z101" s="219" t="s">
        <v>254</v>
      </c>
      <c r="AA101" s="219" t="s">
        <v>1839</v>
      </c>
      <c r="AB101" s="219" t="s">
        <v>254</v>
      </c>
      <c r="AC101" s="219" t="s">
        <v>163</v>
      </c>
      <c r="AD101" s="223" t="s">
        <v>323</v>
      </c>
      <c r="AE101" s="260" t="s">
        <v>1839</v>
      </c>
      <c r="AF101" s="260" t="s">
        <v>1839</v>
      </c>
      <c r="AG101" s="260" t="s">
        <v>1839</v>
      </c>
      <c r="AH101" s="260" t="s">
        <v>1839</v>
      </c>
      <c r="AI101" s="260" t="s">
        <v>1839</v>
      </c>
      <c r="AJ101" s="260" t="s">
        <v>1839</v>
      </c>
    </row>
    <row r="102" spans="1:36">
      <c r="A102" s="229">
        <v>460</v>
      </c>
      <c r="B102" s="229" t="s">
        <v>1362</v>
      </c>
      <c r="C102" s="229" t="s">
        <v>1836</v>
      </c>
      <c r="D102" s="229" t="str">
        <f t="shared" si="3"/>
        <v>滋賀100え460</v>
      </c>
      <c r="E102" s="229" t="s">
        <v>1368</v>
      </c>
      <c r="F102" s="229" t="s">
        <v>1369</v>
      </c>
      <c r="G102" s="229" t="s">
        <v>1855</v>
      </c>
      <c r="H102" s="229" t="s">
        <v>1047</v>
      </c>
      <c r="I102" s="229" t="s">
        <v>1370</v>
      </c>
      <c r="J102" s="229" t="s">
        <v>1371</v>
      </c>
      <c r="K102" s="229" t="s">
        <v>360</v>
      </c>
      <c r="L102" s="279" t="s">
        <v>162</v>
      </c>
      <c r="M102" s="229" t="s">
        <v>1839</v>
      </c>
      <c r="N102" s="229" t="s">
        <v>1839</v>
      </c>
      <c r="O102" s="231" t="s">
        <v>1839</v>
      </c>
      <c r="P102" s="229" t="s">
        <v>1294</v>
      </c>
      <c r="Q102" s="229" t="s">
        <v>1839</v>
      </c>
      <c r="R102" s="229" t="s">
        <v>1839</v>
      </c>
      <c r="S102" s="229" t="s">
        <v>1246</v>
      </c>
      <c r="T102" s="230" t="s">
        <v>1839</v>
      </c>
      <c r="U102" s="229" t="s">
        <v>1839</v>
      </c>
      <c r="V102" s="229" t="s">
        <v>1839</v>
      </c>
      <c r="W102" s="229" t="s">
        <v>1839</v>
      </c>
      <c r="X102" s="229" t="s">
        <v>1839</v>
      </c>
      <c r="Y102" s="231" t="s">
        <v>1839</v>
      </c>
      <c r="Z102" s="229" t="s">
        <v>1119</v>
      </c>
      <c r="AA102" s="229" t="s">
        <v>1839</v>
      </c>
      <c r="AB102" s="229" t="s">
        <v>254</v>
      </c>
      <c r="AC102" s="229" t="s">
        <v>163</v>
      </c>
      <c r="AD102" s="230" t="s">
        <v>323</v>
      </c>
      <c r="AE102" s="229" t="s">
        <v>1839</v>
      </c>
      <c r="AF102" s="229" t="s">
        <v>1839</v>
      </c>
      <c r="AG102" s="229" t="s">
        <v>1839</v>
      </c>
      <c r="AH102" s="229" t="s">
        <v>1839</v>
      </c>
      <c r="AI102" s="229" t="s">
        <v>1839</v>
      </c>
      <c r="AJ102" s="229" t="s">
        <v>1839</v>
      </c>
    </row>
    <row r="103" spans="1:36">
      <c r="A103" s="220">
        <v>463</v>
      </c>
      <c r="B103" s="220" t="s">
        <v>1362</v>
      </c>
      <c r="C103" s="267" t="s">
        <v>1276</v>
      </c>
      <c r="D103" s="220" t="str">
        <f t="shared" si="3"/>
        <v>滋賀100え463</v>
      </c>
      <c r="E103" s="219" t="s">
        <v>1372</v>
      </c>
      <c r="F103" s="220" t="s">
        <v>707</v>
      </c>
      <c r="G103" s="220" t="s">
        <v>1856</v>
      </c>
      <c r="H103" s="220" t="s">
        <v>713</v>
      </c>
      <c r="I103" s="220" t="s">
        <v>1366</v>
      </c>
      <c r="J103" s="220" t="s">
        <v>1367</v>
      </c>
      <c r="K103" s="220" t="s">
        <v>355</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1839</v>
      </c>
      <c r="N106" s="220" t="s">
        <v>1839</v>
      </c>
      <c r="O106" s="222" t="s">
        <v>1839</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1844</v>
      </c>
      <c r="N107" s="195">
        <v>43085</v>
      </c>
      <c r="O107" s="222">
        <v>236670</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1839</v>
      </c>
      <c r="N109" s="220" t="s">
        <v>1839</v>
      </c>
      <c r="O109" s="222" t="s">
        <v>1839</v>
      </c>
      <c r="P109" s="223" t="s">
        <v>1294</v>
      </c>
      <c r="Q109" s="219" t="s">
        <v>1839</v>
      </c>
      <c r="R109" s="225" t="s">
        <v>640</v>
      </c>
      <c r="S109" s="219" t="s">
        <v>1246</v>
      </c>
      <c r="T109" s="224" t="s">
        <v>1839</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t="s">
        <v>1839</v>
      </c>
      <c r="AG109" s="260" t="s">
        <v>1839</v>
      </c>
      <c r="AH109" s="260" t="s">
        <v>1839</v>
      </c>
      <c r="AI109" s="260" t="s">
        <v>1839</v>
      </c>
      <c r="AJ109" s="260" t="s">
        <v>1839</v>
      </c>
    </row>
    <row r="110" spans="1:36" ht="22.5">
      <c r="A110" s="223">
        <v>5608</v>
      </c>
      <c r="B110" s="223" t="s">
        <v>1381</v>
      </c>
      <c r="C110" s="267" t="s">
        <v>1276</v>
      </c>
      <c r="D110" s="220" t="str">
        <f t="shared" si="3"/>
        <v>滋賀100か5608</v>
      </c>
      <c r="E110" s="224" t="s">
        <v>1372</v>
      </c>
      <c r="F110" s="224" t="s">
        <v>664</v>
      </c>
      <c r="G110" s="224" t="s">
        <v>1843</v>
      </c>
      <c r="H110" s="223" t="s">
        <v>205</v>
      </c>
      <c r="I110" s="232" t="s">
        <v>1383</v>
      </c>
      <c r="J110" s="232" t="s">
        <v>1384</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323</v>
      </c>
      <c r="AE110" s="260" t="s">
        <v>1839</v>
      </c>
      <c r="AF110" s="260">
        <v>468400</v>
      </c>
      <c r="AG110" s="260">
        <v>555100</v>
      </c>
      <c r="AH110" s="260" t="s">
        <v>1839</v>
      </c>
      <c r="AI110" s="260" t="s">
        <v>1839</v>
      </c>
      <c r="AJ110" s="260" t="s">
        <v>1839</v>
      </c>
    </row>
    <row r="111" spans="1:36" ht="22.5">
      <c r="A111" s="223">
        <v>5910</v>
      </c>
      <c r="B111" s="223" t="s">
        <v>1381</v>
      </c>
      <c r="C111" s="267" t="s">
        <v>1276</v>
      </c>
      <c r="D111" s="220" t="str">
        <f t="shared" si="3"/>
        <v>滋賀100か5910</v>
      </c>
      <c r="E111" s="224" t="s">
        <v>1353</v>
      </c>
      <c r="F111" s="224" t="s">
        <v>664</v>
      </c>
      <c r="G111" s="224" t="s">
        <v>1843</v>
      </c>
      <c r="H111" s="223" t="s">
        <v>724</v>
      </c>
      <c r="I111" s="232" t="s">
        <v>1385</v>
      </c>
      <c r="J111" s="232" t="s">
        <v>1386</v>
      </c>
      <c r="K111" s="223" t="s">
        <v>170</v>
      </c>
      <c r="L111" s="279" t="s">
        <v>162</v>
      </c>
      <c r="M111" s="220" t="s">
        <v>1839</v>
      </c>
      <c r="N111" s="220" t="s">
        <v>1839</v>
      </c>
      <c r="O111" s="222" t="s">
        <v>1839</v>
      </c>
      <c r="P111" s="223" t="s">
        <v>1294</v>
      </c>
      <c r="Q111" s="219" t="s">
        <v>1275</v>
      </c>
      <c r="R111" s="225" t="s">
        <v>405</v>
      </c>
      <c r="S111" s="219" t="s">
        <v>1246</v>
      </c>
      <c r="T111" s="224" t="s">
        <v>1382</v>
      </c>
      <c r="U111" s="220" t="s">
        <v>1839</v>
      </c>
      <c r="V111" s="220" t="s">
        <v>1839</v>
      </c>
      <c r="W111" s="219" t="s">
        <v>1839</v>
      </c>
      <c r="X111" s="219" t="s">
        <v>1839</v>
      </c>
      <c r="Y111" s="222" t="s">
        <v>1839</v>
      </c>
      <c r="Z111" s="219" t="s">
        <v>254</v>
      </c>
      <c r="AA111" s="219" t="s">
        <v>1839</v>
      </c>
      <c r="AB111" s="219" t="s">
        <v>254</v>
      </c>
      <c r="AC111" s="219" t="s">
        <v>163</v>
      </c>
      <c r="AD111" s="223" t="s">
        <v>1387</v>
      </c>
      <c r="AE111" s="260">
        <v>411000</v>
      </c>
      <c r="AF111" s="260">
        <v>535500</v>
      </c>
      <c r="AG111" s="260" t="s">
        <v>1839</v>
      </c>
      <c r="AH111" s="260" t="s">
        <v>1839</v>
      </c>
      <c r="AI111" s="260" t="s">
        <v>1839</v>
      </c>
      <c r="AJ111" s="260" t="s">
        <v>1839</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1844</v>
      </c>
      <c r="N112" s="195">
        <v>42922</v>
      </c>
      <c r="O112" s="222">
        <v>234150</v>
      </c>
      <c r="P112" s="223" t="s">
        <v>1294</v>
      </c>
      <c r="Q112" s="219" t="s">
        <v>1275</v>
      </c>
      <c r="R112" s="225" t="s">
        <v>1839</v>
      </c>
      <c r="S112" s="219" t="s">
        <v>1246</v>
      </c>
      <c r="T112" s="219" t="s">
        <v>325</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133700</v>
      </c>
      <c r="AG112" s="260">
        <v>256700</v>
      </c>
      <c r="AH112" s="260" t="s">
        <v>1839</v>
      </c>
      <c r="AI112" s="260" t="s">
        <v>1839</v>
      </c>
      <c r="AJ112" s="260" t="s">
        <v>1839</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1847</v>
      </c>
      <c r="N113" s="195">
        <v>42285</v>
      </c>
      <c r="O113" s="222">
        <v>69984</v>
      </c>
      <c r="P113" s="223" t="s">
        <v>1294</v>
      </c>
      <c r="Q113" s="219" t="s">
        <v>1275</v>
      </c>
      <c r="R113" s="225" t="s">
        <v>1839</v>
      </c>
      <c r="S113" s="219" t="s">
        <v>1246</v>
      </c>
      <c r="T113" s="224" t="s">
        <v>1296</v>
      </c>
      <c r="U113" s="220" t="s">
        <v>1839</v>
      </c>
      <c r="V113" s="220" t="s">
        <v>1839</v>
      </c>
      <c r="W113" s="219" t="s">
        <v>1839</v>
      </c>
      <c r="X113" s="219" t="s">
        <v>1839</v>
      </c>
      <c r="Y113" s="222" t="s">
        <v>1839</v>
      </c>
      <c r="Z113" s="219" t="s">
        <v>254</v>
      </c>
      <c r="AA113" s="219" t="s">
        <v>1839</v>
      </c>
      <c r="AB113" s="219" t="s">
        <v>254</v>
      </c>
      <c r="AC113" s="219" t="s">
        <v>163</v>
      </c>
      <c r="AD113" s="223" t="s">
        <v>323</v>
      </c>
      <c r="AE113" s="260" t="s">
        <v>1839</v>
      </c>
      <c r="AF113" s="260">
        <v>821000</v>
      </c>
      <c r="AG113" s="260">
        <v>855000</v>
      </c>
      <c r="AH113" s="260" t="s">
        <v>1839</v>
      </c>
      <c r="AI113" s="260" t="s">
        <v>1839</v>
      </c>
      <c r="AJ113" s="260" t="s">
        <v>1839</v>
      </c>
    </row>
    <row r="114" spans="1:36" ht="22.5">
      <c r="A114" s="219">
        <v>8096</v>
      </c>
      <c r="B114" s="219" t="s">
        <v>1390</v>
      </c>
      <c r="C114" s="267" t="s">
        <v>1276</v>
      </c>
      <c r="D114" s="220" t="str">
        <f t="shared" si="3"/>
        <v>滋賀100か8096</v>
      </c>
      <c r="E114" s="219" t="s">
        <v>1395</v>
      </c>
      <c r="F114" s="219" t="s">
        <v>839</v>
      </c>
      <c r="G114" s="219" t="s">
        <v>1843</v>
      </c>
      <c r="H114" s="223" t="s">
        <v>747</v>
      </c>
      <c r="I114" s="221" t="s">
        <v>1396</v>
      </c>
      <c r="J114" s="221" t="s">
        <v>1397</v>
      </c>
      <c r="K114" s="219" t="s">
        <v>1839</v>
      </c>
      <c r="L114" s="220" t="s">
        <v>532</v>
      </c>
      <c r="M114" s="220" t="s">
        <v>1847</v>
      </c>
      <c r="N114" s="195">
        <v>42489</v>
      </c>
      <c r="O114" s="226">
        <v>86400</v>
      </c>
      <c r="P114" s="219" t="s">
        <v>1294</v>
      </c>
      <c r="Q114" s="219" t="s">
        <v>1275</v>
      </c>
      <c r="R114" s="227">
        <v>5098</v>
      </c>
      <c r="S114" s="219" t="s">
        <v>1246</v>
      </c>
      <c r="T114" s="219" t="s">
        <v>1839</v>
      </c>
      <c r="U114" s="219" t="s">
        <v>1839</v>
      </c>
      <c r="V114" s="219" t="s">
        <v>1839</v>
      </c>
      <c r="W114" s="219" t="s">
        <v>1839</v>
      </c>
      <c r="X114" s="219" t="s">
        <v>1839</v>
      </c>
      <c r="Y114" s="226" t="s">
        <v>1839</v>
      </c>
      <c r="Z114" s="219" t="s">
        <v>254</v>
      </c>
      <c r="AA114" s="219" t="s">
        <v>1839</v>
      </c>
      <c r="AB114" s="219" t="s">
        <v>254</v>
      </c>
      <c r="AC114" s="219" t="s">
        <v>1839</v>
      </c>
      <c r="AD114" s="219" t="s">
        <v>1839</v>
      </c>
      <c r="AE114" s="260" t="s">
        <v>1839</v>
      </c>
      <c r="AF114" s="260">
        <v>645600</v>
      </c>
      <c r="AG114" s="260">
        <v>751500</v>
      </c>
      <c r="AH114" s="260" t="s">
        <v>1839</v>
      </c>
      <c r="AI114" s="260" t="s">
        <v>1839</v>
      </c>
      <c r="AJ114" s="260" t="s">
        <v>1839</v>
      </c>
    </row>
    <row r="115" spans="1:36">
      <c r="A115" s="219">
        <v>8760</v>
      </c>
      <c r="B115" s="220" t="s">
        <v>1227</v>
      </c>
      <c r="C115" s="267" t="s">
        <v>1276</v>
      </c>
      <c r="D115" s="220" t="str">
        <f t="shared" si="3"/>
        <v>滋賀300み8760</v>
      </c>
      <c r="E115" s="220" t="s">
        <v>1143</v>
      </c>
      <c r="F115" s="220" t="s">
        <v>1144</v>
      </c>
      <c r="G115" s="220" t="s">
        <v>1145</v>
      </c>
      <c r="H115" s="75" t="s">
        <v>1771</v>
      </c>
      <c r="I115" s="219" t="s">
        <v>1839</v>
      </c>
      <c r="J115" s="219" t="s">
        <v>1839</v>
      </c>
      <c r="K115" s="220" t="s">
        <v>1860</v>
      </c>
      <c r="L115" s="220" t="s">
        <v>1121</v>
      </c>
      <c r="M115" s="220" t="s">
        <v>1121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1146</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2677</v>
      </c>
      <c r="B116" s="220" t="s">
        <v>1224</v>
      </c>
      <c r="C116" s="267" t="s">
        <v>1276</v>
      </c>
      <c r="D116" s="220" t="str">
        <f t="shared" si="3"/>
        <v>滋賀330そ2677</v>
      </c>
      <c r="E116" s="220" t="s">
        <v>1135</v>
      </c>
      <c r="F116" s="220" t="s">
        <v>1136</v>
      </c>
      <c r="G116" s="220" t="s">
        <v>1398</v>
      </c>
      <c r="H116" s="75" t="s">
        <v>1756</v>
      </c>
      <c r="I116" s="219" t="s">
        <v>1839</v>
      </c>
      <c r="J116" s="219" t="s">
        <v>1839</v>
      </c>
      <c r="K116" s="220" t="s">
        <v>1860</v>
      </c>
      <c r="L116" s="220" t="s">
        <v>1121</v>
      </c>
      <c r="M116" s="220" t="s">
        <v>1872</v>
      </c>
      <c r="N116" s="219" t="s">
        <v>1839</v>
      </c>
      <c r="O116" s="234" t="s">
        <v>1839</v>
      </c>
      <c r="P116" s="220" t="s">
        <v>400</v>
      </c>
      <c r="Q116" s="219" t="s">
        <v>1839</v>
      </c>
      <c r="R116" s="219" t="s">
        <v>1839</v>
      </c>
      <c r="S116" s="219" t="s">
        <v>1254</v>
      </c>
      <c r="T116" s="219" t="s">
        <v>1839</v>
      </c>
      <c r="U116" s="219" t="s">
        <v>1839</v>
      </c>
      <c r="V116" s="219" t="s">
        <v>1839</v>
      </c>
      <c r="W116" s="219" t="s">
        <v>1839</v>
      </c>
      <c r="X116" s="219" t="s">
        <v>1839</v>
      </c>
      <c r="Y116" s="235" t="s">
        <v>1137</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1335</v>
      </c>
      <c r="B117" s="220" t="s">
        <v>1222</v>
      </c>
      <c r="C117" s="267" t="s">
        <v>1276</v>
      </c>
      <c r="D117" s="220" t="str">
        <f t="shared" si="3"/>
        <v>滋賀480か1335</v>
      </c>
      <c r="E117" s="220" t="s">
        <v>1128</v>
      </c>
      <c r="F117" s="220" t="s">
        <v>1129</v>
      </c>
      <c r="G117" s="220" t="s">
        <v>1130</v>
      </c>
      <c r="H117" s="96" t="s">
        <v>1746</v>
      </c>
      <c r="I117" s="219" t="s">
        <v>1839</v>
      </c>
      <c r="J117" s="219" t="s">
        <v>1839</v>
      </c>
      <c r="K117" s="220" t="s">
        <v>1285</v>
      </c>
      <c r="L117" s="220" t="s">
        <v>1121</v>
      </c>
      <c r="M117" s="220" t="s">
        <v>1121</v>
      </c>
      <c r="N117" s="219" t="s">
        <v>1839</v>
      </c>
      <c r="O117" s="234" t="s">
        <v>1839</v>
      </c>
      <c r="P117" s="220" t="s">
        <v>1124</v>
      </c>
      <c r="Q117" s="219" t="s">
        <v>1839</v>
      </c>
      <c r="R117" s="219" t="s">
        <v>1839</v>
      </c>
      <c r="S117" s="219" t="s">
        <v>1254</v>
      </c>
      <c r="T117" s="219" t="s">
        <v>1839</v>
      </c>
      <c r="U117" s="219" t="s">
        <v>1839</v>
      </c>
      <c r="V117" s="219" t="s">
        <v>1839</v>
      </c>
      <c r="W117" s="219" t="s">
        <v>1839</v>
      </c>
      <c r="X117" s="219" t="s">
        <v>1839</v>
      </c>
      <c r="Y117" s="235" t="s">
        <v>1131</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c r="A118" s="219">
        <v>7214</v>
      </c>
      <c r="B118" s="220" t="s">
        <v>1226</v>
      </c>
      <c r="C118" s="267" t="s">
        <v>1276</v>
      </c>
      <c r="D118" s="220" t="str">
        <f t="shared" si="3"/>
        <v>滋賀501つ7214</v>
      </c>
      <c r="E118" s="220" t="s">
        <v>1283</v>
      </c>
      <c r="F118" s="220" t="s">
        <v>1141</v>
      </c>
      <c r="G118" s="220" t="s">
        <v>1130</v>
      </c>
      <c r="H118" s="96" t="s">
        <v>1767</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35" t="s">
        <v>1142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5794</v>
      </c>
      <c r="B119" s="220" t="s">
        <v>1223</v>
      </c>
      <c r="C119" s="267" t="s">
        <v>1276</v>
      </c>
      <c r="D119" s="220" t="str">
        <f t="shared" si="3"/>
        <v>滋賀501て5794</v>
      </c>
      <c r="E119" s="220" t="s">
        <v>1132</v>
      </c>
      <c r="F119" s="220" t="s">
        <v>1133</v>
      </c>
      <c r="G119" s="220" t="s">
        <v>1401</v>
      </c>
      <c r="H119" s="96" t="s">
        <v>1751</v>
      </c>
      <c r="I119" s="219" t="s">
        <v>1839</v>
      </c>
      <c r="J119" s="219" t="s">
        <v>1839</v>
      </c>
      <c r="K119" s="220" t="s">
        <v>1134</v>
      </c>
      <c r="L119" s="220" t="s">
        <v>1121</v>
      </c>
      <c r="M119" s="220" t="s">
        <v>1121</v>
      </c>
      <c r="N119" s="219" t="s">
        <v>1839</v>
      </c>
      <c r="O119" s="234" t="s">
        <v>1839</v>
      </c>
      <c r="P119" s="220" t="s">
        <v>402</v>
      </c>
      <c r="Q119" s="219" t="s">
        <v>1839</v>
      </c>
      <c r="R119" s="219" t="s">
        <v>1839</v>
      </c>
      <c r="S119" s="219" t="s">
        <v>1254</v>
      </c>
      <c r="T119" s="219" t="s">
        <v>1839</v>
      </c>
      <c r="U119" s="219" t="s">
        <v>1839</v>
      </c>
      <c r="V119" s="219" t="s">
        <v>1839</v>
      </c>
      <c r="W119" s="219" t="s">
        <v>1839</v>
      </c>
      <c r="X119" s="219" t="s">
        <v>1839</v>
      </c>
      <c r="Y119" s="282" t="s">
        <v>1873</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ht="22.5">
      <c r="A120" s="219">
        <v>6044</v>
      </c>
      <c r="B120" s="220" t="s">
        <v>1229</v>
      </c>
      <c r="C120" s="267" t="s">
        <v>1276</v>
      </c>
      <c r="D120" s="220" t="str">
        <f t="shared" si="3"/>
        <v>滋賀580そ6044</v>
      </c>
      <c r="E120" s="220" t="s">
        <v>1148</v>
      </c>
      <c r="F120" s="220" t="s">
        <v>1149</v>
      </c>
      <c r="G120" s="220" t="s">
        <v>1150</v>
      </c>
      <c r="H120" s="75" t="s">
        <v>1781</v>
      </c>
      <c r="I120" s="219" t="s">
        <v>1839</v>
      </c>
      <c r="J120" s="219" t="s">
        <v>1839</v>
      </c>
      <c r="K120" s="220" t="s">
        <v>1134</v>
      </c>
      <c r="L120" s="220" t="s">
        <v>1121</v>
      </c>
      <c r="M120" s="220" t="s">
        <v>1121</v>
      </c>
      <c r="N120" s="219" t="s">
        <v>1839</v>
      </c>
      <c r="O120" s="219" t="s">
        <v>1839</v>
      </c>
      <c r="P120" s="220" t="s">
        <v>1124</v>
      </c>
      <c r="Q120" s="219" t="s">
        <v>1839</v>
      </c>
      <c r="R120" s="219" t="s">
        <v>1839</v>
      </c>
      <c r="S120" s="219" t="s">
        <v>1254</v>
      </c>
      <c r="T120" s="219" t="s">
        <v>1839</v>
      </c>
      <c r="U120" s="219" t="s">
        <v>1839</v>
      </c>
      <c r="V120" s="219" t="s">
        <v>1839</v>
      </c>
      <c r="W120" s="219" t="s">
        <v>1839</v>
      </c>
      <c r="X120" s="219" t="s">
        <v>1839</v>
      </c>
      <c r="Y120" s="238" t="s">
        <v>1243</v>
      </c>
      <c r="Z120" s="219" t="s">
        <v>1839</v>
      </c>
      <c r="AA120" s="219" t="s">
        <v>1806</v>
      </c>
      <c r="AB120" s="219" t="s">
        <v>254</v>
      </c>
      <c r="AC120" s="219" t="s">
        <v>1839</v>
      </c>
      <c r="AD120" s="219" t="s">
        <v>1839</v>
      </c>
      <c r="AE120" s="260" t="s">
        <v>1839</v>
      </c>
      <c r="AF120" s="260" t="s">
        <v>1839</v>
      </c>
      <c r="AG120" s="260" t="s">
        <v>1839</v>
      </c>
      <c r="AH120" s="260" t="s">
        <v>1839</v>
      </c>
      <c r="AI120" s="260" t="s">
        <v>1839</v>
      </c>
      <c r="AJ120" s="260" t="s">
        <v>1839</v>
      </c>
    </row>
    <row r="121" spans="1:36">
      <c r="A121" s="220">
        <v>2655</v>
      </c>
      <c r="B121" s="220" t="s">
        <v>573</v>
      </c>
      <c r="C121" s="267" t="s">
        <v>1276</v>
      </c>
      <c r="D121" s="220" t="str">
        <f t="shared" si="3"/>
        <v>習志野100い2655</v>
      </c>
      <c r="E121" s="219" t="s">
        <v>191</v>
      </c>
      <c r="F121" s="220" t="s">
        <v>776</v>
      </c>
      <c r="G121" s="220" t="s">
        <v>1890</v>
      </c>
      <c r="H121" s="220" t="s">
        <v>589</v>
      </c>
      <c r="I121" s="220" t="s">
        <v>587</v>
      </c>
      <c r="J121" s="220" t="s">
        <v>588</v>
      </c>
      <c r="K121" s="220" t="s">
        <v>371</v>
      </c>
      <c r="L121" s="220" t="s">
        <v>532</v>
      </c>
      <c r="M121" s="220" t="s">
        <v>1847</v>
      </c>
      <c r="N121" s="195">
        <v>42181</v>
      </c>
      <c r="O121" s="240">
        <v>28455</v>
      </c>
      <c r="P121" s="223" t="s">
        <v>400</v>
      </c>
      <c r="Q121" s="219" t="s">
        <v>401</v>
      </c>
      <c r="R121" s="220"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1814</v>
      </c>
      <c r="AF121" s="260" t="s">
        <v>1815</v>
      </c>
      <c r="AG121" s="260" t="s">
        <v>1839</v>
      </c>
      <c r="AH121" s="260" t="s">
        <v>1839</v>
      </c>
      <c r="AI121" s="260" t="s">
        <v>1839</v>
      </c>
      <c r="AJ121" s="260" t="s">
        <v>1839</v>
      </c>
    </row>
    <row r="122" spans="1:36">
      <c r="A122" s="220">
        <v>2663</v>
      </c>
      <c r="B122" s="219" t="s">
        <v>1448</v>
      </c>
      <c r="C122" s="267" t="s">
        <v>1276</v>
      </c>
      <c r="D122" s="220" t="str">
        <f t="shared" si="3"/>
        <v>習志野100い2663</v>
      </c>
      <c r="E122" s="219" t="s">
        <v>1338</v>
      </c>
      <c r="F122" s="220" t="s">
        <v>776</v>
      </c>
      <c r="G122" s="220" t="s">
        <v>1890</v>
      </c>
      <c r="H122" s="220" t="s">
        <v>778</v>
      </c>
      <c r="I122" s="220" t="s">
        <v>1326</v>
      </c>
      <c r="J122" s="220" t="s">
        <v>1449</v>
      </c>
      <c r="K122" s="220" t="s">
        <v>372</v>
      </c>
      <c r="L122" s="220" t="s">
        <v>532</v>
      </c>
      <c r="M122" s="220" t="s">
        <v>1847</v>
      </c>
      <c r="N122" s="195">
        <v>42183</v>
      </c>
      <c r="O122" s="240">
        <v>33696</v>
      </c>
      <c r="P122" s="223" t="s">
        <v>1294</v>
      </c>
      <c r="Q122" s="219" t="s">
        <v>1275</v>
      </c>
      <c r="R122" s="225" t="s">
        <v>1839</v>
      </c>
      <c r="S122" s="219" t="s">
        <v>1248</v>
      </c>
      <c r="T122" s="219" t="s">
        <v>1447</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1816</v>
      </c>
      <c r="AG122" s="260" t="s">
        <v>1817</v>
      </c>
      <c r="AH122" s="260" t="s">
        <v>1839</v>
      </c>
      <c r="AI122" s="260" t="s">
        <v>1839</v>
      </c>
      <c r="AJ122" s="260" t="s">
        <v>1839</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1839</v>
      </c>
      <c r="L123" s="279" t="s">
        <v>162</v>
      </c>
      <c r="M123" s="220" t="s">
        <v>1839</v>
      </c>
      <c r="N123" s="220" t="s">
        <v>1839</v>
      </c>
      <c r="O123" s="240" t="s">
        <v>1839</v>
      </c>
      <c r="P123" s="223" t="s">
        <v>1294</v>
      </c>
      <c r="Q123" s="219" t="s">
        <v>1345</v>
      </c>
      <c r="R123" s="225" t="s">
        <v>1839</v>
      </c>
      <c r="S123" s="219" t="s">
        <v>1248</v>
      </c>
      <c r="T123" s="219" t="s">
        <v>269</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t="s">
        <v>1818</v>
      </c>
      <c r="AG123" s="260" t="s">
        <v>1819</v>
      </c>
      <c r="AH123" s="260" t="s">
        <v>1839</v>
      </c>
      <c r="AI123" s="260" t="s">
        <v>1839</v>
      </c>
      <c r="AJ123" s="260" t="s">
        <v>1839</v>
      </c>
    </row>
    <row r="124" spans="1:36" ht="22.5">
      <c r="A124" s="219">
        <v>3817</v>
      </c>
      <c r="B124" s="219" t="s">
        <v>1448</v>
      </c>
      <c r="C124" s="268" t="s">
        <v>1828</v>
      </c>
      <c r="D124" s="220" t="str">
        <f t="shared" si="3"/>
        <v>習志野100い3817</v>
      </c>
      <c r="E124" s="219" t="s">
        <v>1453</v>
      </c>
      <c r="F124" s="220" t="s">
        <v>791</v>
      </c>
      <c r="G124" s="220" t="s">
        <v>1304</v>
      </c>
      <c r="H124" s="220" t="s">
        <v>792</v>
      </c>
      <c r="I124" s="220" t="s">
        <v>1326</v>
      </c>
      <c r="J124" s="220" t="s">
        <v>1454</v>
      </c>
      <c r="K124" s="220" t="s">
        <v>372</v>
      </c>
      <c r="L124" s="220" t="s">
        <v>532</v>
      </c>
      <c r="M124" s="220" t="s">
        <v>1874</v>
      </c>
      <c r="N124" s="195">
        <v>42183</v>
      </c>
      <c r="O124" s="240">
        <v>33696</v>
      </c>
      <c r="P124" s="223" t="s">
        <v>1294</v>
      </c>
      <c r="Q124" s="219" t="s">
        <v>1275</v>
      </c>
      <c r="R124" s="219" t="s">
        <v>1839</v>
      </c>
      <c r="S124" s="219" t="s">
        <v>1248</v>
      </c>
      <c r="T124" s="219" t="s">
        <v>1452</v>
      </c>
      <c r="U124" s="220" t="s">
        <v>1839</v>
      </c>
      <c r="V124" s="220" t="s">
        <v>1839</v>
      </c>
      <c r="W124" s="219" t="s">
        <v>1839</v>
      </c>
      <c r="X124" s="219" t="s">
        <v>1839</v>
      </c>
      <c r="Y124" s="240" t="s">
        <v>1839</v>
      </c>
      <c r="Z124" s="219" t="s">
        <v>254</v>
      </c>
      <c r="AA124" s="219" t="s">
        <v>1839</v>
      </c>
      <c r="AB124" s="219" t="s">
        <v>254</v>
      </c>
      <c r="AC124" s="219" t="s">
        <v>163</v>
      </c>
      <c r="AD124" s="223" t="s">
        <v>323</v>
      </c>
      <c r="AE124" s="260" t="s">
        <v>1839</v>
      </c>
      <c r="AF124" s="260">
        <v>254600</v>
      </c>
      <c r="AG124" s="260">
        <v>277400</v>
      </c>
      <c r="AH124" s="260" t="s">
        <v>1839</v>
      </c>
      <c r="AI124" s="260" t="s">
        <v>1839</v>
      </c>
      <c r="AJ124" s="260" t="s">
        <v>1839</v>
      </c>
    </row>
    <row r="125" spans="1:36" ht="22.5">
      <c r="A125" s="219">
        <v>7368</v>
      </c>
      <c r="B125" s="219" t="s">
        <v>1455</v>
      </c>
      <c r="C125" s="267" t="s">
        <v>1276</v>
      </c>
      <c r="D125" s="220" t="str">
        <f t="shared" si="3"/>
        <v>習志野100か7368</v>
      </c>
      <c r="E125" s="219" t="s">
        <v>1376</v>
      </c>
      <c r="F125" s="219" t="s">
        <v>839</v>
      </c>
      <c r="G125" s="219" t="s">
        <v>1843</v>
      </c>
      <c r="H125" s="223" t="s">
        <v>786</v>
      </c>
      <c r="I125" s="221" t="s">
        <v>1456</v>
      </c>
      <c r="J125" s="221" t="s">
        <v>1457</v>
      </c>
      <c r="K125" s="219" t="s">
        <v>1839</v>
      </c>
      <c r="L125" s="220" t="s">
        <v>532</v>
      </c>
      <c r="M125" s="220" t="s">
        <v>1844</v>
      </c>
      <c r="N125" s="195">
        <v>43084</v>
      </c>
      <c r="O125" s="239">
        <v>223230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v>296900</v>
      </c>
      <c r="AF125" s="260">
        <v>348400</v>
      </c>
      <c r="AG125" s="260" t="s">
        <v>1839</v>
      </c>
      <c r="AH125" s="260" t="s">
        <v>1839</v>
      </c>
      <c r="AI125" s="260" t="s">
        <v>1839</v>
      </c>
      <c r="AJ125" s="260" t="s">
        <v>1839</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1839</v>
      </c>
      <c r="L126" s="220" t="s">
        <v>532</v>
      </c>
      <c r="M126" s="220" t="s">
        <v>1847</v>
      </c>
      <c r="N126" s="195">
        <v>42782</v>
      </c>
      <c r="O126" s="239">
        <v>224490</v>
      </c>
      <c r="P126" s="219" t="s">
        <v>1294</v>
      </c>
      <c r="Q126" s="219" t="s">
        <v>1275</v>
      </c>
      <c r="R126" s="227">
        <v>5098</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159900</v>
      </c>
      <c r="AG126" s="260">
        <v>188300</v>
      </c>
      <c r="AH126" s="260" t="s">
        <v>1839</v>
      </c>
      <c r="AI126" s="260" t="s">
        <v>1839</v>
      </c>
      <c r="AJ126" s="260" t="s">
        <v>1839</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1839</v>
      </c>
      <c r="L127" s="220" t="s">
        <v>532</v>
      </c>
      <c r="M127" s="220" t="s">
        <v>1844</v>
      </c>
      <c r="N127" s="194">
        <v>42905</v>
      </c>
      <c r="O127" s="239">
        <v>166320</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t="s">
        <v>1839</v>
      </c>
      <c r="AF127" s="260">
        <v>515500</v>
      </c>
      <c r="AG127" s="260">
        <v>587900</v>
      </c>
      <c r="AH127" s="260" t="s">
        <v>1839</v>
      </c>
      <c r="AI127" s="260" t="s">
        <v>1839</v>
      </c>
      <c r="AJ127" s="260" t="s">
        <v>1839</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1839</v>
      </c>
      <c r="L128" s="280" t="s">
        <v>1840</v>
      </c>
      <c r="M128" s="220" t="s">
        <v>1839</v>
      </c>
      <c r="N128" s="194" t="s">
        <v>1839</v>
      </c>
      <c r="O128" s="239" t="s">
        <v>1839</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v>529600</v>
      </c>
      <c r="AF128" s="260">
        <v>590400</v>
      </c>
      <c r="AG128" s="260" t="s">
        <v>1839</v>
      </c>
      <c r="AH128" s="260" t="s">
        <v>1839</v>
      </c>
      <c r="AI128" s="260" t="s">
        <v>1839</v>
      </c>
      <c r="AJ128" s="260" t="s">
        <v>1839</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1839</v>
      </c>
      <c r="L129" s="220" t="s">
        <v>532</v>
      </c>
      <c r="M129" s="220" t="s">
        <v>1847</v>
      </c>
      <c r="N129" s="194">
        <v>42908</v>
      </c>
      <c r="O129" s="239">
        <v>198072</v>
      </c>
      <c r="P129" s="219" t="s">
        <v>1294</v>
      </c>
      <c r="Q129" s="219" t="s">
        <v>1275</v>
      </c>
      <c r="R129" s="219" t="s">
        <v>1839</v>
      </c>
      <c r="S129" s="219" t="s">
        <v>1248</v>
      </c>
      <c r="T129" s="219" t="s">
        <v>1839</v>
      </c>
      <c r="U129" s="219" t="s">
        <v>1839</v>
      </c>
      <c r="V129" s="219" t="s">
        <v>1839</v>
      </c>
      <c r="W129" s="219" t="s">
        <v>1839</v>
      </c>
      <c r="X129" s="219" t="s">
        <v>1839</v>
      </c>
      <c r="Y129" s="239" t="s">
        <v>1839</v>
      </c>
      <c r="Z129" s="219" t="s">
        <v>254</v>
      </c>
      <c r="AA129" s="219" t="s">
        <v>1839</v>
      </c>
      <c r="AB129" s="219" t="s">
        <v>254</v>
      </c>
      <c r="AC129" s="219" t="s">
        <v>1839</v>
      </c>
      <c r="AD129" s="219" t="s">
        <v>1839</v>
      </c>
      <c r="AE129" s="260" t="s">
        <v>1839</v>
      </c>
      <c r="AF129" s="260">
        <v>377900</v>
      </c>
      <c r="AG129" s="260">
        <v>302700</v>
      </c>
      <c r="AH129" s="260" t="s">
        <v>1839</v>
      </c>
      <c r="AI129" s="260" t="s">
        <v>1839</v>
      </c>
      <c r="AJ129" s="260" t="s">
        <v>1839</v>
      </c>
    </row>
    <row r="130" spans="1:36" ht="22.5">
      <c r="A130" s="219">
        <v>7605</v>
      </c>
      <c r="B130" s="219" t="s">
        <v>1455</v>
      </c>
      <c r="C130" s="268" t="s">
        <v>1829</v>
      </c>
      <c r="D130" s="220" t="str">
        <f t="shared" ref="D130:D151" si="4">CONCATENATE(B130,A130)</f>
        <v>習志野100か7605</v>
      </c>
      <c r="E130" s="219" t="s">
        <v>1471</v>
      </c>
      <c r="F130" s="219" t="s">
        <v>1472</v>
      </c>
      <c r="G130" s="219" t="s">
        <v>1470</v>
      </c>
      <c r="H130" s="220" t="s">
        <v>820</v>
      </c>
      <c r="I130" s="221" t="s">
        <v>1473</v>
      </c>
      <c r="J130" s="221" t="s">
        <v>1474</v>
      </c>
      <c r="K130" s="219" t="s">
        <v>1839</v>
      </c>
      <c r="L130" s="220" t="s">
        <v>532</v>
      </c>
      <c r="M130" s="220" t="s">
        <v>1844</v>
      </c>
      <c r="N130" s="195">
        <v>42922</v>
      </c>
      <c r="O130" s="263">
        <v>188370</v>
      </c>
      <c r="P130" s="219" t="s">
        <v>1294</v>
      </c>
      <c r="Q130" s="219" t="s">
        <v>1275</v>
      </c>
      <c r="R130" s="227">
        <v>5098</v>
      </c>
      <c r="S130" s="219" t="s">
        <v>1248</v>
      </c>
      <c r="T130" s="219" t="s">
        <v>1839</v>
      </c>
      <c r="U130" s="219" t="s">
        <v>1839</v>
      </c>
      <c r="V130" s="219" t="s">
        <v>1839</v>
      </c>
      <c r="W130" s="219" t="s">
        <v>1839</v>
      </c>
      <c r="X130" s="219" t="s">
        <v>1839</v>
      </c>
      <c r="Y130" s="263" t="s">
        <v>1839</v>
      </c>
      <c r="Z130" s="219" t="s">
        <v>254</v>
      </c>
      <c r="AA130" s="219" t="s">
        <v>1839</v>
      </c>
      <c r="AB130" s="219" t="s">
        <v>254</v>
      </c>
      <c r="AC130" s="219" t="s">
        <v>1839</v>
      </c>
      <c r="AD130" s="219" t="s">
        <v>1839</v>
      </c>
      <c r="AE130" s="260" t="s">
        <v>1839</v>
      </c>
      <c r="AF130" s="260">
        <v>428500</v>
      </c>
      <c r="AG130" s="260">
        <v>529300</v>
      </c>
      <c r="AH130" s="260" t="s">
        <v>1839</v>
      </c>
      <c r="AI130" s="260" t="s">
        <v>1839</v>
      </c>
      <c r="AJ130" s="260" t="s">
        <v>1839</v>
      </c>
    </row>
    <row r="131" spans="1:36">
      <c r="A131" s="220">
        <v>7751</v>
      </c>
      <c r="B131" s="220" t="s">
        <v>1455</v>
      </c>
      <c r="C131" s="267" t="s">
        <v>1476</v>
      </c>
      <c r="D131" s="220" t="str">
        <f t="shared" si="4"/>
        <v>習志野100か7751</v>
      </c>
      <c r="E131" s="219" t="s">
        <v>1475</v>
      </c>
      <c r="F131" s="220" t="s">
        <v>827</v>
      </c>
      <c r="G131" s="220" t="s">
        <v>1843</v>
      </c>
      <c r="H131" s="220" t="s">
        <v>296</v>
      </c>
      <c r="I131" s="220" t="s">
        <v>1408</v>
      </c>
      <c r="J131" s="220" t="s">
        <v>1303</v>
      </c>
      <c r="K131" s="220" t="s">
        <v>367</v>
      </c>
      <c r="L131" s="279" t="s">
        <v>162</v>
      </c>
      <c r="M131" s="220" t="s">
        <v>1839</v>
      </c>
      <c r="N131" s="220" t="s">
        <v>1839</v>
      </c>
      <c r="O131" s="240" t="s">
        <v>1839</v>
      </c>
      <c r="P131" s="223" t="s">
        <v>1294</v>
      </c>
      <c r="Q131" s="219" t="s">
        <v>1275</v>
      </c>
      <c r="R131" s="225" t="s">
        <v>1839</v>
      </c>
      <c r="S131" s="219" t="s">
        <v>1248</v>
      </c>
      <c r="T131" s="219" t="s">
        <v>1382</v>
      </c>
      <c r="U131" s="220" t="s">
        <v>1839</v>
      </c>
      <c r="V131" s="220" t="s">
        <v>1839</v>
      </c>
      <c r="W131" s="219" t="s">
        <v>1839</v>
      </c>
      <c r="X131" s="219" t="s">
        <v>1839</v>
      </c>
      <c r="Y131" s="240" t="s">
        <v>1839</v>
      </c>
      <c r="Z131" s="219" t="s">
        <v>254</v>
      </c>
      <c r="AA131" s="219" t="s">
        <v>1839</v>
      </c>
      <c r="AB131" s="219" t="s">
        <v>254</v>
      </c>
      <c r="AC131" s="219" t="s">
        <v>163</v>
      </c>
      <c r="AD131" s="223" t="s">
        <v>323</v>
      </c>
      <c r="AE131" s="260" t="s">
        <v>1839</v>
      </c>
      <c r="AF131" s="260">
        <v>785600</v>
      </c>
      <c r="AG131" s="260">
        <v>906400</v>
      </c>
      <c r="AH131" s="260" t="s">
        <v>1839</v>
      </c>
      <c r="AI131" s="260" t="s">
        <v>1839</v>
      </c>
      <c r="AJ131" s="260" t="s">
        <v>1839</v>
      </c>
    </row>
    <row r="132" spans="1:36">
      <c r="A132" s="283">
        <v>8124</v>
      </c>
      <c r="B132" s="283" t="s">
        <v>1240</v>
      </c>
      <c r="C132" s="283" t="s">
        <v>1833</v>
      </c>
      <c r="D132" s="283" t="str">
        <f t="shared" si="4"/>
        <v>習志野400た8124</v>
      </c>
      <c r="E132" s="283" t="s">
        <v>1316</v>
      </c>
      <c r="F132" s="283" t="s">
        <v>1536</v>
      </c>
      <c r="G132" s="283" t="s">
        <v>1401</v>
      </c>
      <c r="H132" s="283" t="s">
        <v>1537</v>
      </c>
      <c r="I132" s="283" t="s">
        <v>1839</v>
      </c>
      <c r="J132" s="283" t="s">
        <v>1839</v>
      </c>
      <c r="K132" s="283" t="s">
        <v>1285</v>
      </c>
      <c r="L132" s="283" t="s">
        <v>1161</v>
      </c>
      <c r="M132" s="283" t="s">
        <v>1161</v>
      </c>
      <c r="N132" s="283" t="s">
        <v>1839</v>
      </c>
      <c r="O132" s="283" t="s">
        <v>1839</v>
      </c>
      <c r="P132" s="283" t="s">
        <v>402</v>
      </c>
      <c r="Q132" s="283" t="s">
        <v>401</v>
      </c>
      <c r="R132" s="283" t="s">
        <v>1839</v>
      </c>
      <c r="S132" s="283" t="s">
        <v>1253</v>
      </c>
      <c r="T132" s="283" t="s">
        <v>1804</v>
      </c>
      <c r="U132" s="283" t="s">
        <v>1839</v>
      </c>
      <c r="V132" s="283" t="s">
        <v>1839</v>
      </c>
      <c r="W132" s="283" t="s">
        <v>1839</v>
      </c>
      <c r="X132" s="283" t="s">
        <v>1839</v>
      </c>
      <c r="Y132" s="283" t="s">
        <v>1211</v>
      </c>
      <c r="Z132" s="283" t="s">
        <v>1839</v>
      </c>
      <c r="AA132" s="283" t="s">
        <v>1806</v>
      </c>
      <c r="AB132" s="283" t="s">
        <v>254</v>
      </c>
      <c r="AC132" s="283" t="s">
        <v>163</v>
      </c>
      <c r="AD132" s="283" t="s">
        <v>323</v>
      </c>
      <c r="AE132" s="283" t="s">
        <v>1839</v>
      </c>
      <c r="AF132" s="283" t="s">
        <v>1839</v>
      </c>
      <c r="AG132" s="283" t="s">
        <v>1839</v>
      </c>
      <c r="AH132" s="283" t="s">
        <v>1839</v>
      </c>
      <c r="AI132" s="283" t="s">
        <v>1839</v>
      </c>
      <c r="AJ132" s="283" t="s">
        <v>1839</v>
      </c>
    </row>
    <row r="133" spans="1:36">
      <c r="A133" s="283">
        <v>8251</v>
      </c>
      <c r="B133" s="283" t="s">
        <v>1241</v>
      </c>
      <c r="C133" s="283" t="s">
        <v>1833</v>
      </c>
      <c r="D133" s="283" t="str">
        <f t="shared" si="4"/>
        <v>名古屋80あ8251</v>
      </c>
      <c r="E133" s="283" t="s">
        <v>1143</v>
      </c>
      <c r="F133" s="283" t="s">
        <v>1162</v>
      </c>
      <c r="G133" s="283" t="s">
        <v>1212</v>
      </c>
      <c r="H133" s="283" t="s">
        <v>1213</v>
      </c>
      <c r="I133" s="283" t="s">
        <v>1839</v>
      </c>
      <c r="J133" s="283" t="s">
        <v>1839</v>
      </c>
      <c r="K133" s="283" t="s">
        <v>1875</v>
      </c>
      <c r="L133" s="283" t="s">
        <v>1161</v>
      </c>
      <c r="M133" s="283" t="s">
        <v>1161</v>
      </c>
      <c r="N133" s="283" t="s">
        <v>1839</v>
      </c>
      <c r="O133" s="283" t="s">
        <v>1839</v>
      </c>
      <c r="P133" s="283" t="s">
        <v>1124</v>
      </c>
      <c r="Q133" s="283" t="s">
        <v>1839</v>
      </c>
      <c r="R133" s="283" t="s">
        <v>1839</v>
      </c>
      <c r="S133" s="283" t="s">
        <v>1253</v>
      </c>
      <c r="T133" s="283" t="s">
        <v>1839</v>
      </c>
      <c r="U133" s="283" t="s">
        <v>1839</v>
      </c>
      <c r="V133" s="283" t="s">
        <v>1839</v>
      </c>
      <c r="W133" s="283" t="s">
        <v>1839</v>
      </c>
      <c r="X133" s="283" t="s">
        <v>1839</v>
      </c>
      <c r="Y133" s="283" t="s">
        <v>1839</v>
      </c>
      <c r="Z133" s="283" t="s">
        <v>1839</v>
      </c>
      <c r="AA133" s="283" t="s">
        <v>1806</v>
      </c>
      <c r="AB133" s="283" t="s">
        <v>254</v>
      </c>
      <c r="AC133" s="283" t="s">
        <v>1839</v>
      </c>
      <c r="AD133" s="283" t="s">
        <v>1839</v>
      </c>
      <c r="AE133" s="283" t="s">
        <v>1839</v>
      </c>
      <c r="AF133" s="283" t="s">
        <v>1839</v>
      </c>
      <c r="AG133" s="283" t="s">
        <v>1839</v>
      </c>
      <c r="AH133" s="283" t="s">
        <v>1839</v>
      </c>
      <c r="AI133" s="283" t="s">
        <v>1839</v>
      </c>
      <c r="AJ133" s="283" t="s">
        <v>1839</v>
      </c>
    </row>
    <row r="134" spans="1:36">
      <c r="A134" s="220">
        <v>4409</v>
      </c>
      <c r="B134" s="220" t="s">
        <v>575</v>
      </c>
      <c r="C134" s="267" t="s">
        <v>1876</v>
      </c>
      <c r="D134" s="233" t="str">
        <f t="shared" si="4"/>
        <v>宮城100き4409</v>
      </c>
      <c r="E134" s="220" t="s">
        <v>194</v>
      </c>
      <c r="F134" s="220" t="s">
        <v>1583</v>
      </c>
      <c r="G134" s="220" t="s">
        <v>324</v>
      </c>
      <c r="H134" s="233" t="s">
        <v>1584</v>
      </c>
      <c r="I134" s="220" t="s">
        <v>1839</v>
      </c>
      <c r="J134" s="220" t="s">
        <v>1839</v>
      </c>
      <c r="K134" s="220" t="s">
        <v>368</v>
      </c>
      <c r="L134" s="279" t="s">
        <v>162</v>
      </c>
      <c r="M134" s="220" t="s">
        <v>1839</v>
      </c>
      <c r="N134" s="220" t="s">
        <v>1839</v>
      </c>
      <c r="O134" s="220" t="s">
        <v>1839</v>
      </c>
      <c r="P134" s="220" t="s">
        <v>400</v>
      </c>
      <c r="Q134" s="220" t="s">
        <v>404</v>
      </c>
      <c r="R134" s="220" t="s">
        <v>1839</v>
      </c>
      <c r="S134" s="220" t="s">
        <v>1839</v>
      </c>
      <c r="T134" s="220" t="s">
        <v>1582</v>
      </c>
      <c r="U134" s="220" t="s">
        <v>1839</v>
      </c>
      <c r="V134" s="220" t="s">
        <v>1839</v>
      </c>
      <c r="W134" s="220" t="s">
        <v>1839</v>
      </c>
      <c r="X134" s="220" t="s">
        <v>1820</v>
      </c>
      <c r="Y134" s="220" t="s">
        <v>1839</v>
      </c>
      <c r="Z134" s="220" t="s">
        <v>1839</v>
      </c>
      <c r="AA134" s="220" t="s">
        <v>1839</v>
      </c>
      <c r="AB134" s="220" t="s">
        <v>1119</v>
      </c>
      <c r="AC134" s="220" t="s">
        <v>163</v>
      </c>
      <c r="AD134" s="220" t="s">
        <v>323</v>
      </c>
      <c r="AE134" s="260" t="s">
        <v>1839</v>
      </c>
      <c r="AF134" s="260" t="s">
        <v>1839</v>
      </c>
      <c r="AG134" s="260" t="s">
        <v>1839</v>
      </c>
      <c r="AH134" s="260" t="s">
        <v>1839</v>
      </c>
      <c r="AI134" s="260" t="s">
        <v>1839</v>
      </c>
      <c r="AJ134" s="260" t="s">
        <v>1839</v>
      </c>
    </row>
    <row r="135" spans="1:36" ht="13.5">
      <c r="A135" s="220">
        <v>2720</v>
      </c>
      <c r="B135" s="220" t="s">
        <v>582</v>
      </c>
      <c r="C135" s="267" t="s">
        <v>1876</v>
      </c>
      <c r="D135" s="233" t="str">
        <f t="shared" si="4"/>
        <v>宮城400あ2720</v>
      </c>
      <c r="E135" s="220" t="s">
        <v>195</v>
      </c>
      <c r="F135" s="220" t="s">
        <v>1400</v>
      </c>
      <c r="G135" s="220" t="s">
        <v>1398</v>
      </c>
      <c r="H135" s="233" t="s">
        <v>1586</v>
      </c>
      <c r="I135" s="220" t="s">
        <v>1839</v>
      </c>
      <c r="J135" s="220" t="s">
        <v>1839</v>
      </c>
      <c r="K135" s="220" t="s">
        <v>1877</v>
      </c>
      <c r="L135" s="279" t="s">
        <v>162</v>
      </c>
      <c r="M135" s="220" t="s">
        <v>1839</v>
      </c>
      <c r="N135" s="220" t="s">
        <v>1839</v>
      </c>
      <c r="O135" s="220" t="s">
        <v>1839</v>
      </c>
      <c r="P135" s="220" t="s">
        <v>402</v>
      </c>
      <c r="Q135" s="220" t="s">
        <v>401</v>
      </c>
      <c r="R135" s="220" t="s">
        <v>1839</v>
      </c>
      <c r="S135" s="220" t="s">
        <v>1839</v>
      </c>
      <c r="T135" s="220" t="s">
        <v>1585</v>
      </c>
      <c r="U135" s="220" t="s">
        <v>1839</v>
      </c>
      <c r="V135" s="220" t="s">
        <v>1839</v>
      </c>
      <c r="W135" s="261" t="s">
        <v>1839</v>
      </c>
      <c r="X135" s="220" t="s">
        <v>1838</v>
      </c>
      <c r="Y135" s="220" t="s">
        <v>1839</v>
      </c>
      <c r="Z135" s="220" t="s">
        <v>1839</v>
      </c>
      <c r="AA135" s="220" t="s">
        <v>1839</v>
      </c>
      <c r="AB135" s="220" t="s">
        <v>1119</v>
      </c>
      <c r="AC135" s="220" t="s">
        <v>163</v>
      </c>
      <c r="AD135" s="220" t="s">
        <v>323</v>
      </c>
      <c r="AE135" s="219" t="s">
        <v>1839</v>
      </c>
      <c r="AF135" s="260" t="s">
        <v>1839</v>
      </c>
      <c r="AG135" s="260" t="s">
        <v>1839</v>
      </c>
      <c r="AH135" s="260" t="s">
        <v>1839</v>
      </c>
      <c r="AI135" s="260" t="s">
        <v>1839</v>
      </c>
      <c r="AJ135" s="260" t="s">
        <v>1839</v>
      </c>
    </row>
    <row r="136" spans="1:36">
      <c r="A136" s="220">
        <v>4096</v>
      </c>
      <c r="B136" s="220" t="s">
        <v>580</v>
      </c>
      <c r="C136" s="267" t="s">
        <v>1876</v>
      </c>
      <c r="D136" s="233" t="str">
        <f t="shared" si="4"/>
        <v>三河100あ4096</v>
      </c>
      <c r="E136" s="220" t="s">
        <v>186</v>
      </c>
      <c r="F136" s="220" t="s">
        <v>1588</v>
      </c>
      <c r="G136" s="220" t="s">
        <v>172</v>
      </c>
      <c r="H136" s="233" t="s">
        <v>187</v>
      </c>
      <c r="I136" s="220" t="s">
        <v>1839</v>
      </c>
      <c r="J136" s="220" t="s">
        <v>1839</v>
      </c>
      <c r="K136" s="220" t="s">
        <v>181</v>
      </c>
      <c r="L136" s="279" t="s">
        <v>162</v>
      </c>
      <c r="M136" s="220" t="s">
        <v>1839</v>
      </c>
      <c r="N136" s="220" t="s">
        <v>1839</v>
      </c>
      <c r="O136" s="220" t="s">
        <v>1839</v>
      </c>
      <c r="P136" s="220" t="s">
        <v>400</v>
      </c>
      <c r="Q136" s="220" t="s">
        <v>401</v>
      </c>
      <c r="R136" s="220" t="s">
        <v>1839</v>
      </c>
      <c r="S136" s="220" t="s">
        <v>1839</v>
      </c>
      <c r="T136" s="220" t="s">
        <v>1337</v>
      </c>
      <c r="U136" s="220" t="s">
        <v>1839</v>
      </c>
      <c r="V136" s="220" t="s">
        <v>1839</v>
      </c>
      <c r="W136" s="220" t="s">
        <v>1839</v>
      </c>
      <c r="X136" s="220" t="s">
        <v>1217</v>
      </c>
      <c r="Y136" s="220" t="s">
        <v>1839</v>
      </c>
      <c r="Z136" s="220" t="s">
        <v>1839</v>
      </c>
      <c r="AA136" s="220" t="s">
        <v>1839</v>
      </c>
      <c r="AB136" s="220" t="s">
        <v>1119</v>
      </c>
      <c r="AC136" s="220" t="s">
        <v>163</v>
      </c>
      <c r="AD136" s="220" t="s">
        <v>323</v>
      </c>
      <c r="AE136" s="262" t="s">
        <v>1839</v>
      </c>
      <c r="AF136" s="260" t="s">
        <v>1839</v>
      </c>
      <c r="AG136" s="260" t="s">
        <v>1839</v>
      </c>
      <c r="AH136" s="260" t="s">
        <v>1839</v>
      </c>
      <c r="AI136" s="260" t="s">
        <v>1839</v>
      </c>
      <c r="AJ136" s="260" t="s">
        <v>1839</v>
      </c>
    </row>
    <row r="137" spans="1:36">
      <c r="A137" s="220">
        <v>747</v>
      </c>
      <c r="B137" s="220" t="s">
        <v>576</v>
      </c>
      <c r="C137" s="267" t="s">
        <v>1876</v>
      </c>
      <c r="D137" s="233" t="str">
        <f t="shared" si="4"/>
        <v>三河100え747</v>
      </c>
      <c r="E137" s="220" t="s">
        <v>394</v>
      </c>
      <c r="F137" s="220" t="s">
        <v>395</v>
      </c>
      <c r="G137" s="220" t="s">
        <v>1858</v>
      </c>
      <c r="H137" s="233" t="s">
        <v>1589</v>
      </c>
      <c r="I137" s="220" t="s">
        <v>1839</v>
      </c>
      <c r="J137" s="220" t="s">
        <v>1839</v>
      </c>
      <c r="K137" s="220" t="s">
        <v>360</v>
      </c>
      <c r="L137" s="279" t="s">
        <v>287</v>
      </c>
      <c r="M137" s="220" t="s">
        <v>1839</v>
      </c>
      <c r="N137" s="220" t="s">
        <v>1839</v>
      </c>
      <c r="O137" s="220" t="s">
        <v>1839</v>
      </c>
      <c r="P137" s="220" t="s">
        <v>400</v>
      </c>
      <c r="Q137" s="220" t="s">
        <v>401</v>
      </c>
      <c r="R137" s="220" t="s">
        <v>1839</v>
      </c>
      <c r="S137" s="220" t="s">
        <v>1839</v>
      </c>
      <c r="T137" s="220" t="s">
        <v>1839</v>
      </c>
      <c r="U137" s="220" t="s">
        <v>1839</v>
      </c>
      <c r="V137" s="220" t="s">
        <v>1839</v>
      </c>
      <c r="W137" s="220" t="s">
        <v>1839</v>
      </c>
      <c r="X137" s="220" t="s">
        <v>1821</v>
      </c>
      <c r="Y137" s="220" t="s">
        <v>1839</v>
      </c>
      <c r="Z137" s="220" t="s">
        <v>1839</v>
      </c>
      <c r="AA137" s="220" t="s">
        <v>1839</v>
      </c>
      <c r="AB137" s="220" t="s">
        <v>1119</v>
      </c>
      <c r="AC137" s="220" t="s">
        <v>294</v>
      </c>
      <c r="AD137" s="220" t="s">
        <v>1565</v>
      </c>
      <c r="AE137" s="260" t="s">
        <v>1839</v>
      </c>
      <c r="AF137" s="260" t="s">
        <v>1839</v>
      </c>
      <c r="AG137" s="260" t="s">
        <v>1839</v>
      </c>
      <c r="AH137" s="260" t="s">
        <v>1839</v>
      </c>
      <c r="AI137" s="260" t="s">
        <v>1839</v>
      </c>
      <c r="AJ137" s="260" t="s">
        <v>1839</v>
      </c>
    </row>
    <row r="138" spans="1:36">
      <c r="A138" s="220">
        <v>788</v>
      </c>
      <c r="B138" s="220" t="s">
        <v>576</v>
      </c>
      <c r="C138" s="267" t="s">
        <v>1876</v>
      </c>
      <c r="D138" s="233" t="str">
        <f t="shared" si="4"/>
        <v>三河100え788</v>
      </c>
      <c r="E138" s="220" t="s">
        <v>347</v>
      </c>
      <c r="F138" s="220" t="s">
        <v>348</v>
      </c>
      <c r="G138" s="220" t="s">
        <v>1590</v>
      </c>
      <c r="H138" s="233" t="s">
        <v>349</v>
      </c>
      <c r="I138" s="220" t="s">
        <v>1839</v>
      </c>
      <c r="J138" s="220" t="s">
        <v>1839</v>
      </c>
      <c r="K138" s="220" t="s">
        <v>1591</v>
      </c>
      <c r="L138" s="279" t="s">
        <v>162</v>
      </c>
      <c r="M138" s="220" t="s">
        <v>1839</v>
      </c>
      <c r="N138" s="220" t="s">
        <v>1839</v>
      </c>
      <c r="O138" s="220" t="s">
        <v>1839</v>
      </c>
      <c r="P138" s="220" t="s">
        <v>400</v>
      </c>
      <c r="Q138" s="220" t="s">
        <v>401</v>
      </c>
      <c r="R138" s="220" t="s">
        <v>621</v>
      </c>
      <c r="S138" s="220" t="s">
        <v>1839</v>
      </c>
      <c r="T138" s="220" t="s">
        <v>1839</v>
      </c>
      <c r="U138" s="220" t="s">
        <v>1839</v>
      </c>
      <c r="V138" s="220" t="s">
        <v>1839</v>
      </c>
      <c r="W138" s="220" t="s">
        <v>1839</v>
      </c>
      <c r="X138" s="220" t="s">
        <v>1821</v>
      </c>
      <c r="Y138" s="220" t="s">
        <v>1839</v>
      </c>
      <c r="Z138" s="220" t="s">
        <v>1839</v>
      </c>
      <c r="AA138" s="220" t="s">
        <v>1839</v>
      </c>
      <c r="AB138" s="220" t="s">
        <v>1119</v>
      </c>
      <c r="AC138" s="220" t="s">
        <v>163</v>
      </c>
      <c r="AD138" s="220" t="s">
        <v>323</v>
      </c>
      <c r="AE138" s="260" t="s">
        <v>1839</v>
      </c>
      <c r="AF138" s="260" t="s">
        <v>1839</v>
      </c>
      <c r="AG138" s="260" t="s">
        <v>1839</v>
      </c>
      <c r="AH138" s="260" t="s">
        <v>1839</v>
      </c>
      <c r="AI138" s="260" t="s">
        <v>1839</v>
      </c>
      <c r="AJ138" s="260" t="s">
        <v>1839</v>
      </c>
    </row>
    <row r="139" spans="1:36">
      <c r="A139" s="220">
        <v>928</v>
      </c>
      <c r="B139" s="220" t="s">
        <v>576</v>
      </c>
      <c r="C139" s="267" t="s">
        <v>1876</v>
      </c>
      <c r="D139" s="233" t="str">
        <f t="shared" si="4"/>
        <v>三河100え928</v>
      </c>
      <c r="E139" s="220" t="s">
        <v>396</v>
      </c>
      <c r="F139" s="220" t="s">
        <v>1592</v>
      </c>
      <c r="G139" s="220" t="s">
        <v>1856</v>
      </c>
      <c r="H139" s="233" t="s">
        <v>1593</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1821</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929</v>
      </c>
      <c r="B140" s="220" t="s">
        <v>576</v>
      </c>
      <c r="C140" s="267" t="s">
        <v>1876</v>
      </c>
      <c r="D140" s="233" t="str">
        <f t="shared" si="4"/>
        <v>三河100え929</v>
      </c>
      <c r="E140" s="220" t="s">
        <v>397</v>
      </c>
      <c r="F140" s="220" t="s">
        <v>1594</v>
      </c>
      <c r="G140" s="220" t="s">
        <v>331</v>
      </c>
      <c r="H140" s="233" t="s">
        <v>1595</v>
      </c>
      <c r="I140" s="220" t="s">
        <v>1839</v>
      </c>
      <c r="J140" s="220" t="s">
        <v>1839</v>
      </c>
      <c r="K140" s="220" t="s">
        <v>360</v>
      </c>
      <c r="L140" s="279" t="s">
        <v>287</v>
      </c>
      <c r="M140" s="220" t="s">
        <v>1839</v>
      </c>
      <c r="N140" s="220" t="s">
        <v>1839</v>
      </c>
      <c r="O140" s="220" t="s">
        <v>1839</v>
      </c>
      <c r="P140" s="220" t="s">
        <v>400</v>
      </c>
      <c r="Q140" s="220" t="s">
        <v>401</v>
      </c>
      <c r="R140" s="220" t="s">
        <v>1839</v>
      </c>
      <c r="S140" s="220" t="s">
        <v>1839</v>
      </c>
      <c r="T140" s="220" t="s">
        <v>1839</v>
      </c>
      <c r="U140" s="220" t="s">
        <v>1839</v>
      </c>
      <c r="V140" s="220" t="s">
        <v>1839</v>
      </c>
      <c r="W140" s="220" t="s">
        <v>1839</v>
      </c>
      <c r="X140" s="220" t="s">
        <v>1820</v>
      </c>
      <c r="Y140" s="220" t="s">
        <v>1839</v>
      </c>
      <c r="Z140" s="220" t="s">
        <v>1839</v>
      </c>
      <c r="AA140" s="220" t="s">
        <v>1839</v>
      </c>
      <c r="AB140" s="220" t="s">
        <v>1119</v>
      </c>
      <c r="AC140" s="220" t="s">
        <v>294</v>
      </c>
      <c r="AD140" s="220" t="s">
        <v>1565</v>
      </c>
      <c r="AE140" s="260" t="s">
        <v>1839</v>
      </c>
      <c r="AF140" s="260" t="s">
        <v>1839</v>
      </c>
      <c r="AG140" s="260" t="s">
        <v>1839</v>
      </c>
      <c r="AH140" s="260" t="s">
        <v>1839</v>
      </c>
      <c r="AI140" s="260" t="s">
        <v>1839</v>
      </c>
      <c r="AJ140" s="260" t="s">
        <v>1839</v>
      </c>
    </row>
    <row r="141" spans="1:36">
      <c r="A141" s="220">
        <v>9606</v>
      </c>
      <c r="B141" s="220" t="s">
        <v>577</v>
      </c>
      <c r="C141" s="267" t="s">
        <v>1876</v>
      </c>
      <c r="D141" s="233" t="str">
        <f t="shared" si="4"/>
        <v>三河100か9606</v>
      </c>
      <c r="E141" s="220" t="s">
        <v>192</v>
      </c>
      <c r="F141" s="220" t="s">
        <v>1596</v>
      </c>
      <c r="G141" s="220" t="s">
        <v>1843</v>
      </c>
      <c r="H141" s="233" t="s">
        <v>1597</v>
      </c>
      <c r="I141" s="220" t="s">
        <v>1839</v>
      </c>
      <c r="J141" s="220" t="s">
        <v>1839</v>
      </c>
      <c r="K141" s="220" t="s">
        <v>1878</v>
      </c>
      <c r="L141" s="279" t="s">
        <v>162</v>
      </c>
      <c r="M141" s="220" t="s">
        <v>1839</v>
      </c>
      <c r="N141" s="220" t="s">
        <v>1839</v>
      </c>
      <c r="O141" s="220" t="s">
        <v>1839</v>
      </c>
      <c r="P141" s="220" t="s">
        <v>400</v>
      </c>
      <c r="Q141" s="220" t="s">
        <v>401</v>
      </c>
      <c r="R141" s="220" t="s">
        <v>1839</v>
      </c>
      <c r="S141" s="220" t="s">
        <v>1839</v>
      </c>
      <c r="T141" s="220" t="s">
        <v>1352</v>
      </c>
      <c r="U141" s="220" t="s">
        <v>1839</v>
      </c>
      <c r="V141" s="220" t="s">
        <v>1839</v>
      </c>
      <c r="W141" s="220" t="s">
        <v>1839</v>
      </c>
      <c r="X141" s="220" t="s">
        <v>1820</v>
      </c>
      <c r="Y141" s="220" t="s">
        <v>1839</v>
      </c>
      <c r="Z141" s="220" t="s">
        <v>1839</v>
      </c>
      <c r="AA141" s="220" t="s">
        <v>1839</v>
      </c>
      <c r="AB141" s="220" t="s">
        <v>1119</v>
      </c>
      <c r="AC141" s="220" t="s">
        <v>163</v>
      </c>
      <c r="AD141" s="220" t="s">
        <v>323</v>
      </c>
      <c r="AE141" s="260" t="s">
        <v>1839</v>
      </c>
      <c r="AF141" s="260" t="s">
        <v>1839</v>
      </c>
      <c r="AG141" s="260" t="s">
        <v>1839</v>
      </c>
      <c r="AH141" s="260" t="s">
        <v>1839</v>
      </c>
      <c r="AI141" s="260" t="s">
        <v>1839</v>
      </c>
      <c r="AJ141" s="260" t="s">
        <v>1839</v>
      </c>
    </row>
    <row r="142" spans="1:36">
      <c r="A142" s="229">
        <v>1811</v>
      </c>
      <c r="B142" s="229" t="s">
        <v>1242</v>
      </c>
      <c r="C142" s="229" t="s">
        <v>1833</v>
      </c>
      <c r="D142" s="229" t="str">
        <f t="shared" si="4"/>
        <v>三河502と1811</v>
      </c>
      <c r="E142" s="229" t="s">
        <v>1524</v>
      </c>
      <c r="F142" s="229" t="s">
        <v>1214</v>
      </c>
      <c r="G142" s="229" t="s">
        <v>1398</v>
      </c>
      <c r="H142" s="229" t="s">
        <v>1215</v>
      </c>
      <c r="I142" s="229" t="s">
        <v>1839</v>
      </c>
      <c r="J142" s="229" t="s">
        <v>1839</v>
      </c>
      <c r="K142" s="229" t="s">
        <v>1860</v>
      </c>
      <c r="L142" s="229" t="s">
        <v>1161</v>
      </c>
      <c r="M142" s="229" t="s">
        <v>1161</v>
      </c>
      <c r="N142" s="229" t="s">
        <v>1839</v>
      </c>
      <c r="O142" s="229" t="s">
        <v>1839</v>
      </c>
      <c r="P142" s="229" t="s">
        <v>402</v>
      </c>
      <c r="Q142" s="229" t="s">
        <v>1839</v>
      </c>
      <c r="R142" s="229" t="s">
        <v>1839</v>
      </c>
      <c r="S142" s="229" t="s">
        <v>1253</v>
      </c>
      <c r="T142" s="229" t="s">
        <v>1839</v>
      </c>
      <c r="U142" s="229" t="s">
        <v>1839</v>
      </c>
      <c r="V142" s="229" t="s">
        <v>1839</v>
      </c>
      <c r="W142" s="229" t="s">
        <v>1839</v>
      </c>
      <c r="X142" s="229" t="s">
        <v>1217</v>
      </c>
      <c r="Y142" s="229" t="s">
        <v>1216</v>
      </c>
      <c r="Z142" s="229" t="s">
        <v>1839</v>
      </c>
      <c r="AA142" s="229" t="s">
        <v>1839</v>
      </c>
      <c r="AB142" s="229" t="s">
        <v>1119</v>
      </c>
      <c r="AC142" s="229" t="s">
        <v>1839</v>
      </c>
      <c r="AD142" s="229" t="s">
        <v>1839</v>
      </c>
      <c r="AE142" s="229" t="s">
        <v>1839</v>
      </c>
      <c r="AF142" s="229" t="s">
        <v>1839</v>
      </c>
      <c r="AG142" s="229" t="s">
        <v>1839</v>
      </c>
      <c r="AH142" s="229" t="s">
        <v>1839</v>
      </c>
      <c r="AI142" s="229" t="s">
        <v>1839</v>
      </c>
      <c r="AJ142" s="229" t="s">
        <v>1839</v>
      </c>
    </row>
    <row r="143" spans="1:36">
      <c r="A143" s="220">
        <v>6312</v>
      </c>
      <c r="B143" s="220" t="s">
        <v>578</v>
      </c>
      <c r="C143" s="267" t="s">
        <v>1876</v>
      </c>
      <c r="D143" s="233" t="str">
        <f t="shared" si="4"/>
        <v>滋賀100あ6312</v>
      </c>
      <c r="E143" s="220" t="s">
        <v>295</v>
      </c>
      <c r="F143" s="220" t="s">
        <v>299</v>
      </c>
      <c r="G143" s="220" t="s">
        <v>298</v>
      </c>
      <c r="H143" s="233" t="s">
        <v>1599</v>
      </c>
      <c r="I143" s="220" t="s">
        <v>1839</v>
      </c>
      <c r="J143" s="220" t="s">
        <v>1839</v>
      </c>
      <c r="K143" s="220" t="s">
        <v>300</v>
      </c>
      <c r="L143" s="279" t="s">
        <v>287</v>
      </c>
      <c r="M143" s="220" t="s">
        <v>1839</v>
      </c>
      <c r="N143" s="220" t="s">
        <v>1839</v>
      </c>
      <c r="O143" s="220" t="s">
        <v>1839</v>
      </c>
      <c r="P143" s="220" t="s">
        <v>402</v>
      </c>
      <c r="Q143" s="220" t="s">
        <v>401</v>
      </c>
      <c r="R143" s="220" t="s">
        <v>1839</v>
      </c>
      <c r="S143" s="220" t="s">
        <v>1839</v>
      </c>
      <c r="T143" s="220" t="s">
        <v>1598</v>
      </c>
      <c r="U143" s="220" t="s">
        <v>1839</v>
      </c>
      <c r="V143" s="220" t="s">
        <v>1839</v>
      </c>
      <c r="W143" s="220" t="s">
        <v>1839</v>
      </c>
      <c r="X143" s="220" t="s">
        <v>1821</v>
      </c>
      <c r="Y143" s="220" t="s">
        <v>1839</v>
      </c>
      <c r="Z143" s="220" t="s">
        <v>1839</v>
      </c>
      <c r="AA143" s="220" t="s">
        <v>1839</v>
      </c>
      <c r="AB143" s="220" t="s">
        <v>1119</v>
      </c>
      <c r="AC143" s="220" t="s">
        <v>294</v>
      </c>
      <c r="AD143" s="220" t="s">
        <v>398</v>
      </c>
      <c r="AE143" s="260" t="s">
        <v>1839</v>
      </c>
      <c r="AF143" s="260" t="s">
        <v>1839</v>
      </c>
      <c r="AG143" s="260" t="s">
        <v>1839</v>
      </c>
      <c r="AH143" s="260" t="s">
        <v>1839</v>
      </c>
      <c r="AI143" s="260" t="s">
        <v>1839</v>
      </c>
      <c r="AJ143" s="260" t="s">
        <v>1839</v>
      </c>
    </row>
    <row r="144" spans="1:36">
      <c r="A144" s="220">
        <v>9086</v>
      </c>
      <c r="B144" s="220" t="s">
        <v>578</v>
      </c>
      <c r="C144" s="267" t="s">
        <v>1876</v>
      </c>
      <c r="D144" s="233" t="str">
        <f t="shared" si="4"/>
        <v>滋賀100あ9086</v>
      </c>
      <c r="E144" s="220" t="s">
        <v>196</v>
      </c>
      <c r="F144" s="220" t="s">
        <v>1600</v>
      </c>
      <c r="G144" s="220" t="s">
        <v>1879</v>
      </c>
      <c r="H144" s="233" t="s">
        <v>1601</v>
      </c>
      <c r="I144" s="220" t="s">
        <v>1839</v>
      </c>
      <c r="J144" s="220" t="s">
        <v>1839</v>
      </c>
      <c r="K144" s="220" t="s">
        <v>1602</v>
      </c>
      <c r="L144" s="279" t="s">
        <v>162</v>
      </c>
      <c r="M144" s="220" t="s">
        <v>1839</v>
      </c>
      <c r="N144" s="220" t="s">
        <v>1839</v>
      </c>
      <c r="O144" s="220" t="s">
        <v>1839</v>
      </c>
      <c r="P144" s="220" t="s">
        <v>400</v>
      </c>
      <c r="Q144" s="220" t="s">
        <v>401</v>
      </c>
      <c r="R144" s="220" t="s">
        <v>1839</v>
      </c>
      <c r="S144" s="220" t="s">
        <v>1839</v>
      </c>
      <c r="T144" s="220" t="s">
        <v>1352</v>
      </c>
      <c r="U144" s="220" t="s">
        <v>1839</v>
      </c>
      <c r="V144" s="220" t="s">
        <v>1839</v>
      </c>
      <c r="W144" s="220" t="s">
        <v>1839</v>
      </c>
      <c r="X144" s="220" t="s">
        <v>1820</v>
      </c>
      <c r="Y144" s="220" t="s">
        <v>1839</v>
      </c>
      <c r="Z144" s="220" t="s">
        <v>1839</v>
      </c>
      <c r="AA144" s="220" t="s">
        <v>1839</v>
      </c>
      <c r="AB144" s="220" t="s">
        <v>1119</v>
      </c>
      <c r="AC144" s="220" t="s">
        <v>163</v>
      </c>
      <c r="AD144" s="220" t="s">
        <v>323</v>
      </c>
      <c r="AE144" s="260" t="s">
        <v>1839</v>
      </c>
      <c r="AF144" s="260" t="s">
        <v>1839</v>
      </c>
      <c r="AG144" s="260" t="s">
        <v>1839</v>
      </c>
      <c r="AH144" s="260" t="s">
        <v>1839</v>
      </c>
      <c r="AI144" s="260" t="s">
        <v>1839</v>
      </c>
      <c r="AJ144" s="260" t="s">
        <v>1839</v>
      </c>
    </row>
    <row r="145" spans="1:36">
      <c r="A145" s="220">
        <v>5595</v>
      </c>
      <c r="B145" s="220" t="s">
        <v>579</v>
      </c>
      <c r="C145" s="267" t="s">
        <v>1876</v>
      </c>
      <c r="D145" s="233" t="str">
        <f t="shared" si="4"/>
        <v>滋賀100か5595</v>
      </c>
      <c r="E145" s="220" t="s">
        <v>195</v>
      </c>
      <c r="F145" s="220" t="s">
        <v>1604</v>
      </c>
      <c r="G145" s="220" t="s">
        <v>171</v>
      </c>
      <c r="H145" s="233" t="s">
        <v>1605</v>
      </c>
      <c r="I145" s="220" t="s">
        <v>1839</v>
      </c>
      <c r="J145" s="220" t="s">
        <v>1839</v>
      </c>
      <c r="K145" s="220" t="s">
        <v>1348</v>
      </c>
      <c r="L145" s="279" t="s">
        <v>162</v>
      </c>
      <c r="M145" s="220" t="s">
        <v>1839</v>
      </c>
      <c r="N145" s="220" t="s">
        <v>1839</v>
      </c>
      <c r="O145" s="220" t="s">
        <v>1839</v>
      </c>
      <c r="P145" s="220" t="s">
        <v>400</v>
      </c>
      <c r="Q145" s="220" t="s">
        <v>401</v>
      </c>
      <c r="R145" s="220" t="s">
        <v>1839</v>
      </c>
      <c r="S145" s="220" t="s">
        <v>1839</v>
      </c>
      <c r="T145" s="220" t="s">
        <v>1603</v>
      </c>
      <c r="U145" s="220" t="s">
        <v>1839</v>
      </c>
      <c r="V145" s="220" t="s">
        <v>1839</v>
      </c>
      <c r="W145" s="220" t="s">
        <v>1839</v>
      </c>
      <c r="X145" s="220" t="s">
        <v>1820</v>
      </c>
      <c r="Y145" s="220" t="s">
        <v>1839</v>
      </c>
      <c r="Z145" s="220" t="s">
        <v>1839</v>
      </c>
      <c r="AA145" s="220" t="s">
        <v>1839</v>
      </c>
      <c r="AB145" s="220" t="s">
        <v>1119</v>
      </c>
      <c r="AC145" s="220" t="s">
        <v>163</v>
      </c>
      <c r="AD145" s="220" t="s">
        <v>323</v>
      </c>
      <c r="AE145" s="260" t="s">
        <v>1839</v>
      </c>
      <c r="AF145" s="260">
        <v>874200</v>
      </c>
      <c r="AG145" s="260">
        <v>968200</v>
      </c>
      <c r="AH145" s="260" t="s">
        <v>1839</v>
      </c>
      <c r="AI145" s="260" t="s">
        <v>1839</v>
      </c>
      <c r="AJ145" s="260" t="s">
        <v>1839</v>
      </c>
    </row>
    <row r="146" spans="1:36">
      <c r="A146" s="220">
        <v>6094</v>
      </c>
      <c r="B146" s="220" t="s">
        <v>579</v>
      </c>
      <c r="C146" s="267" t="s">
        <v>1876</v>
      </c>
      <c r="D146" s="233" t="str">
        <f t="shared" si="4"/>
        <v>滋賀100か6094</v>
      </c>
      <c r="E146" s="220" t="s">
        <v>184</v>
      </c>
      <c r="F146" s="220" t="s">
        <v>1607</v>
      </c>
      <c r="G146" s="220" t="s">
        <v>171</v>
      </c>
      <c r="H146" s="233" t="s">
        <v>1608</v>
      </c>
      <c r="I146" s="220" t="s">
        <v>1839</v>
      </c>
      <c r="J146" s="220" t="s">
        <v>1839</v>
      </c>
      <c r="K146" s="220" t="s">
        <v>179</v>
      </c>
      <c r="L146" s="279" t="s">
        <v>162</v>
      </c>
      <c r="M146" s="220" t="s">
        <v>1839</v>
      </c>
      <c r="N146" s="220" t="s">
        <v>1839</v>
      </c>
      <c r="O146" s="220" t="s">
        <v>1839</v>
      </c>
      <c r="P146" s="220" t="s">
        <v>400</v>
      </c>
      <c r="Q146" s="220" t="s">
        <v>401</v>
      </c>
      <c r="R146" s="220" t="s">
        <v>1839</v>
      </c>
      <c r="S146" s="220" t="s">
        <v>1839</v>
      </c>
      <c r="T146" s="220" t="s">
        <v>1606</v>
      </c>
      <c r="U146" s="220" t="s">
        <v>1839</v>
      </c>
      <c r="V146" s="220" t="s">
        <v>1839</v>
      </c>
      <c r="W146" s="220" t="s">
        <v>1839</v>
      </c>
      <c r="X146" s="220" t="s">
        <v>1821</v>
      </c>
      <c r="Y146" s="220" t="s">
        <v>1839</v>
      </c>
      <c r="Z146" s="220" t="s">
        <v>1839</v>
      </c>
      <c r="AA146" s="220" t="s">
        <v>1839</v>
      </c>
      <c r="AB146" s="220" t="s">
        <v>1119</v>
      </c>
      <c r="AC146" s="220" t="s">
        <v>163</v>
      </c>
      <c r="AD146" s="220" t="s">
        <v>1387</v>
      </c>
      <c r="AE146" s="260" t="s">
        <v>1839</v>
      </c>
      <c r="AF146" s="260" t="s">
        <v>1839</v>
      </c>
      <c r="AG146" s="260" t="s">
        <v>1839</v>
      </c>
      <c r="AH146" s="260" t="s">
        <v>1839</v>
      </c>
      <c r="AI146" s="260" t="s">
        <v>1839</v>
      </c>
      <c r="AJ146" s="260" t="s">
        <v>1839</v>
      </c>
    </row>
    <row r="147" spans="1:36">
      <c r="A147" s="220">
        <v>6114</v>
      </c>
      <c r="B147" s="220" t="s">
        <v>579</v>
      </c>
      <c r="C147" s="267" t="s">
        <v>1876</v>
      </c>
      <c r="D147" s="233" t="str">
        <f t="shared" si="4"/>
        <v>滋賀100か6114</v>
      </c>
      <c r="E147" s="220" t="s">
        <v>199</v>
      </c>
      <c r="F147" s="220" t="s">
        <v>664</v>
      </c>
      <c r="G147" s="220" t="s">
        <v>1843</v>
      </c>
      <c r="H147" s="233" t="s">
        <v>1609</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1820</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6148</v>
      </c>
      <c r="B148" s="220" t="s">
        <v>579</v>
      </c>
      <c r="C148" s="267" t="s">
        <v>1876</v>
      </c>
      <c r="D148" s="233" t="str">
        <f t="shared" si="4"/>
        <v>滋賀100か6148</v>
      </c>
      <c r="E148" s="220" t="s">
        <v>203</v>
      </c>
      <c r="F148" s="220" t="s">
        <v>664</v>
      </c>
      <c r="G148" s="220" t="s">
        <v>1843</v>
      </c>
      <c r="H148" s="233" t="s">
        <v>1610</v>
      </c>
      <c r="I148" s="220" t="s">
        <v>1839</v>
      </c>
      <c r="J148" s="220" t="s">
        <v>1839</v>
      </c>
      <c r="K148" s="220" t="s">
        <v>170</v>
      </c>
      <c r="L148" s="279" t="s">
        <v>162</v>
      </c>
      <c r="M148" s="220" t="s">
        <v>1839</v>
      </c>
      <c r="N148" s="220" t="s">
        <v>1839</v>
      </c>
      <c r="O148" s="220" t="s">
        <v>1839</v>
      </c>
      <c r="P148" s="220" t="s">
        <v>400</v>
      </c>
      <c r="Q148" s="220" t="s">
        <v>401</v>
      </c>
      <c r="R148" s="220" t="s">
        <v>405</v>
      </c>
      <c r="S148" s="220" t="s">
        <v>1839</v>
      </c>
      <c r="T148" s="220" t="s">
        <v>1382</v>
      </c>
      <c r="U148" s="220" t="s">
        <v>1839</v>
      </c>
      <c r="V148" s="220" t="s">
        <v>1839</v>
      </c>
      <c r="W148" s="220" t="s">
        <v>1839</v>
      </c>
      <c r="X148" s="220" t="s">
        <v>1820</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2767</v>
      </c>
      <c r="B149" s="220" t="s">
        <v>573</v>
      </c>
      <c r="C149" s="267" t="s">
        <v>1876</v>
      </c>
      <c r="D149" s="233" t="str">
        <f t="shared" si="4"/>
        <v>習志野100い2767</v>
      </c>
      <c r="E149" s="220" t="s">
        <v>270</v>
      </c>
      <c r="F149" s="220" t="s">
        <v>375</v>
      </c>
      <c r="G149" s="220" t="s">
        <v>324</v>
      </c>
      <c r="H149" s="233" t="s">
        <v>271</v>
      </c>
      <c r="I149" s="220" t="s">
        <v>1839</v>
      </c>
      <c r="J149" s="220" t="s">
        <v>1839</v>
      </c>
      <c r="K149" s="220" t="s">
        <v>1611</v>
      </c>
      <c r="L149" s="279" t="s">
        <v>162</v>
      </c>
      <c r="M149" s="220" t="s">
        <v>1839</v>
      </c>
      <c r="N149" s="220" t="s">
        <v>1839</v>
      </c>
      <c r="O149" s="220" t="s">
        <v>1839</v>
      </c>
      <c r="P149" s="220" t="s">
        <v>402</v>
      </c>
      <c r="Q149" s="220" t="s">
        <v>401</v>
      </c>
      <c r="R149" s="220" t="s">
        <v>1839</v>
      </c>
      <c r="S149" s="220" t="s">
        <v>1839</v>
      </c>
      <c r="T149" s="220" t="s">
        <v>269</v>
      </c>
      <c r="U149" s="220" t="s">
        <v>1839</v>
      </c>
      <c r="V149" s="220" t="s">
        <v>1839</v>
      </c>
      <c r="W149" s="220" t="s">
        <v>1839</v>
      </c>
      <c r="X149" s="220" t="s">
        <v>1820</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2830</v>
      </c>
      <c r="B150" s="220" t="s">
        <v>573</v>
      </c>
      <c r="C150" s="267" t="s">
        <v>1876</v>
      </c>
      <c r="D150" s="233" t="str">
        <f t="shared" si="4"/>
        <v>習志野100い2830</v>
      </c>
      <c r="E150" s="220" t="s">
        <v>289</v>
      </c>
      <c r="F150" s="220" t="s">
        <v>1612</v>
      </c>
      <c r="G150" s="220" t="s">
        <v>1843</v>
      </c>
      <c r="H150" s="233" t="s">
        <v>1613</v>
      </c>
      <c r="I150" s="220" t="s">
        <v>1839</v>
      </c>
      <c r="J150" s="220" t="s">
        <v>1839</v>
      </c>
      <c r="K150" s="220" t="s">
        <v>381</v>
      </c>
      <c r="L150" s="279" t="s">
        <v>162</v>
      </c>
      <c r="M150" s="220" t="s">
        <v>1839</v>
      </c>
      <c r="N150" s="220" t="s">
        <v>1839</v>
      </c>
      <c r="O150" s="220" t="s">
        <v>1839</v>
      </c>
      <c r="P150" s="220" t="s">
        <v>400</v>
      </c>
      <c r="Q150" s="220" t="s">
        <v>401</v>
      </c>
      <c r="R150" s="220" t="s">
        <v>1839</v>
      </c>
      <c r="S150" s="220" t="s">
        <v>1839</v>
      </c>
      <c r="T150" s="220" t="s">
        <v>384</v>
      </c>
      <c r="U150" s="220" t="s">
        <v>1839</v>
      </c>
      <c r="V150" s="220" t="s">
        <v>1839</v>
      </c>
      <c r="W150" s="220" t="s">
        <v>1839</v>
      </c>
      <c r="X150" s="220" t="s">
        <v>1217</v>
      </c>
      <c r="Y150" s="220" t="s">
        <v>1839</v>
      </c>
      <c r="Z150" s="220" t="s">
        <v>1839</v>
      </c>
      <c r="AA150" s="220" t="s">
        <v>1839</v>
      </c>
      <c r="AB150" s="220" t="s">
        <v>1119</v>
      </c>
      <c r="AC150" s="220" t="s">
        <v>163</v>
      </c>
      <c r="AD150" s="220" t="s">
        <v>323</v>
      </c>
      <c r="AE150" s="260" t="s">
        <v>1839</v>
      </c>
      <c r="AF150" s="260" t="s">
        <v>1839</v>
      </c>
      <c r="AG150" s="260" t="s">
        <v>1839</v>
      </c>
      <c r="AH150" s="260" t="s">
        <v>1839</v>
      </c>
      <c r="AI150" s="260" t="s">
        <v>1839</v>
      </c>
      <c r="AJ150" s="260" t="s">
        <v>1839</v>
      </c>
    </row>
    <row r="151" spans="1:36">
      <c r="A151" s="220">
        <v>4659</v>
      </c>
      <c r="B151" s="220" t="s">
        <v>583</v>
      </c>
      <c r="C151" s="267" t="s">
        <v>1876</v>
      </c>
      <c r="D151" s="233" t="str">
        <f t="shared" si="4"/>
        <v>習志野400た4659</v>
      </c>
      <c r="E151" s="220" t="s">
        <v>185</v>
      </c>
      <c r="F151" s="220" t="s">
        <v>1536</v>
      </c>
      <c r="G151" s="220" t="s">
        <v>1401</v>
      </c>
      <c r="H151" s="233" t="s">
        <v>1614</v>
      </c>
      <c r="I151" s="220" t="s">
        <v>1839</v>
      </c>
      <c r="J151" s="220" t="s">
        <v>1839</v>
      </c>
      <c r="K151" s="220" t="s">
        <v>1285</v>
      </c>
      <c r="L151" s="279" t="s">
        <v>1880</v>
      </c>
      <c r="M151" s="220" t="s">
        <v>1839</v>
      </c>
      <c r="N151" s="220" t="s">
        <v>1839</v>
      </c>
      <c r="O151" s="220" t="s">
        <v>1839</v>
      </c>
      <c r="P151" s="220" t="s">
        <v>402</v>
      </c>
      <c r="Q151" s="220" t="s">
        <v>401</v>
      </c>
      <c r="R151" s="220" t="s">
        <v>1839</v>
      </c>
      <c r="S151" s="220" t="s">
        <v>1839</v>
      </c>
      <c r="T151" s="220" t="s">
        <v>376</v>
      </c>
      <c r="U151" s="220" t="s">
        <v>1839</v>
      </c>
      <c r="V151" s="220" t="s">
        <v>1839</v>
      </c>
      <c r="W151" s="220" t="s">
        <v>1839</v>
      </c>
      <c r="X151" s="220" t="s">
        <v>1821</v>
      </c>
      <c r="Y151" s="220" t="s">
        <v>1839</v>
      </c>
      <c r="Z151" s="220" t="s">
        <v>1839</v>
      </c>
      <c r="AA151" s="220" t="s">
        <v>1839</v>
      </c>
      <c r="AB151" s="220" t="s">
        <v>1119</v>
      </c>
      <c r="AC151" s="220" t="s">
        <v>377</v>
      </c>
      <c r="AD151" s="220" t="s">
        <v>1839</v>
      </c>
      <c r="AE151" s="260" t="s">
        <v>1839</v>
      </c>
      <c r="AF151" s="260" t="s">
        <v>1839</v>
      </c>
      <c r="AG151" s="260" t="s">
        <v>1839</v>
      </c>
      <c r="AH151" s="260" t="s">
        <v>1839</v>
      </c>
      <c r="AI151" s="260" t="s">
        <v>1839</v>
      </c>
      <c r="AJ151" s="260" t="s">
        <v>1839</v>
      </c>
    </row>
    <row r="152" spans="1:36">
      <c r="C152" s="276"/>
    </row>
    <row r="153" spans="1:36">
      <c r="A153" s="284" t="s">
        <v>1881</v>
      </c>
      <c r="B153" s="285"/>
      <c r="C153" s="286"/>
    </row>
    <row r="154" spans="1:36">
      <c r="A154" s="287" t="s">
        <v>1882</v>
      </c>
      <c r="B154" s="288"/>
      <c r="C154" s="289"/>
    </row>
    <row r="155" spans="1:36">
      <c r="A155" s="290" t="s">
        <v>1883</v>
      </c>
      <c r="B155" s="291"/>
      <c r="C155" s="292"/>
    </row>
    <row r="156" spans="1:36">
      <c r="A156" s="293" t="s">
        <v>1884</v>
      </c>
      <c r="B156" s="293"/>
      <c r="C156" s="293"/>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A124"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1803</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1615</v>
      </c>
      <c r="C105" s="97" t="s">
        <v>1616</v>
      </c>
      <c r="D105" s="96" t="s">
        <v>1617</v>
      </c>
      <c r="E105" s="96" t="s">
        <v>1618</v>
      </c>
      <c r="F105" s="269" t="s">
        <v>1619</v>
      </c>
      <c r="G105" s="75" t="s">
        <v>1620</v>
      </c>
      <c r="H105" s="242" t="s">
        <v>1621</v>
      </c>
      <c r="I105" s="193" t="s">
        <v>1622</v>
      </c>
      <c r="J105" s="197" t="s">
        <v>1623</v>
      </c>
      <c r="K105" s="197" t="s">
        <v>1623</v>
      </c>
      <c r="M105" s="188" t="s">
        <v>1802</v>
      </c>
    </row>
    <row r="106" spans="1:13" ht="14.25">
      <c r="A106" s="199">
        <f>IF(B106="","",COUNTA($B$7:$B106))</f>
        <v>100</v>
      </c>
      <c r="B106" s="200" t="s">
        <v>1624</v>
      </c>
      <c r="C106" s="97" t="s">
        <v>1625</v>
      </c>
      <c r="D106" s="96" t="s">
        <v>1626</v>
      </c>
      <c r="E106" s="96" t="s">
        <v>1627</v>
      </c>
      <c r="F106" s="269" t="s">
        <v>1628</v>
      </c>
      <c r="G106" s="75" t="s">
        <v>1629</v>
      </c>
      <c r="H106" s="96" t="s">
        <v>1630</v>
      </c>
      <c r="I106" s="96" t="s">
        <v>1631</v>
      </c>
      <c r="J106" s="197" t="s">
        <v>1623</v>
      </c>
      <c r="K106" s="197" t="s">
        <v>1623</v>
      </c>
      <c r="L106" s="188"/>
    </row>
    <row r="107" spans="1:13" ht="22.5">
      <c r="A107" s="199">
        <f>IF(B107="","",COUNTA($B$7:$B107))</f>
        <v>101</v>
      </c>
      <c r="B107" s="200" t="s">
        <v>1632</v>
      </c>
      <c r="C107" s="96" t="s">
        <v>1633</v>
      </c>
      <c r="D107" s="96" t="s">
        <v>1634</v>
      </c>
      <c r="E107" s="96" t="s">
        <v>1618</v>
      </c>
      <c r="F107" s="269" t="s">
        <v>1635</v>
      </c>
      <c r="G107" s="75" t="s">
        <v>1636</v>
      </c>
      <c r="H107" s="242" t="s">
        <v>1621</v>
      </c>
      <c r="I107" s="193" t="s">
        <v>1637</v>
      </c>
      <c r="J107" s="197" t="s">
        <v>1638</v>
      </c>
      <c r="K107" s="197" t="s">
        <v>1623</v>
      </c>
      <c r="L107" s="188"/>
    </row>
    <row r="108" spans="1:13" ht="22.5">
      <c r="A108" s="199">
        <f>IF(B108="","",COUNTA($B$7:$B108))</f>
        <v>102</v>
      </c>
      <c r="B108" s="200" t="s">
        <v>1639</v>
      </c>
      <c r="C108" s="97" t="s">
        <v>1640</v>
      </c>
      <c r="D108" s="96" t="s">
        <v>1641</v>
      </c>
      <c r="E108" s="96" t="s">
        <v>1642</v>
      </c>
      <c r="F108" s="269" t="s">
        <v>1643</v>
      </c>
      <c r="G108" s="75" t="s">
        <v>1636</v>
      </c>
      <c r="H108" s="96" t="s">
        <v>1644</v>
      </c>
      <c r="I108" s="193" t="s">
        <v>1645</v>
      </c>
      <c r="J108" s="197" t="s">
        <v>1638</v>
      </c>
      <c r="K108" s="197" t="s">
        <v>1623</v>
      </c>
      <c r="L108" s="188"/>
    </row>
    <row r="109" spans="1:13" ht="22.5">
      <c r="A109" s="199">
        <f>IF(B109="","",COUNTA($B$7:$B109))</f>
        <v>103</v>
      </c>
      <c r="B109" s="200" t="s">
        <v>1646</v>
      </c>
      <c r="C109" s="97" t="s">
        <v>1647</v>
      </c>
      <c r="D109" s="96" t="s">
        <v>1648</v>
      </c>
      <c r="E109" s="96" t="s">
        <v>1618</v>
      </c>
      <c r="F109" s="269" t="s">
        <v>1649</v>
      </c>
      <c r="G109" s="75" t="s">
        <v>1636</v>
      </c>
      <c r="H109" s="96" t="s">
        <v>1644</v>
      </c>
      <c r="I109" s="193" t="s">
        <v>1650</v>
      </c>
      <c r="J109" s="197" t="s">
        <v>1623</v>
      </c>
      <c r="K109" s="197" t="s">
        <v>1623</v>
      </c>
      <c r="L109" s="188"/>
    </row>
    <row r="110" spans="1:13" ht="22.5">
      <c r="A110" s="199">
        <f>IF(B110="","",COUNTA($B$7:$B110))</f>
        <v>104</v>
      </c>
      <c r="B110" s="96" t="s">
        <v>1651</v>
      </c>
      <c r="C110" s="97" t="s">
        <v>1652</v>
      </c>
      <c r="D110" s="96" t="s">
        <v>1653</v>
      </c>
      <c r="E110" s="96" t="s">
        <v>1654</v>
      </c>
      <c r="F110" s="269" t="s">
        <v>1655</v>
      </c>
      <c r="G110" s="75" t="s">
        <v>1636</v>
      </c>
      <c r="H110" s="242" t="s">
        <v>1621</v>
      </c>
      <c r="I110" s="193" t="s">
        <v>1656</v>
      </c>
      <c r="J110" s="197" t="s">
        <v>1638</v>
      </c>
      <c r="K110" s="197" t="s">
        <v>1623</v>
      </c>
      <c r="L110" s="188"/>
    </row>
    <row r="111" spans="1:13" ht="22.5">
      <c r="A111" s="199">
        <f>IF(B111="","",COUNTA($B$7:$B111))</f>
        <v>105</v>
      </c>
      <c r="B111" s="105" t="s">
        <v>1657</v>
      </c>
      <c r="C111" s="243" t="s">
        <v>1658</v>
      </c>
      <c r="D111" s="96" t="s">
        <v>1626</v>
      </c>
      <c r="E111" s="96" t="s">
        <v>1626</v>
      </c>
      <c r="F111" s="270" t="s">
        <v>1659</v>
      </c>
      <c r="G111" s="75" t="s">
        <v>1620</v>
      </c>
      <c r="H111" s="96" t="s">
        <v>1660</v>
      </c>
      <c r="I111" s="193" t="s">
        <v>1661</v>
      </c>
      <c r="J111" s="197" t="s">
        <v>1623</v>
      </c>
      <c r="K111" s="197" t="s">
        <v>1623</v>
      </c>
      <c r="L111" s="188"/>
    </row>
    <row r="112" spans="1:13" ht="22.5">
      <c r="A112" s="199">
        <f>IF(B112="","",COUNTA($B$7:$B112))</f>
        <v>106</v>
      </c>
      <c r="B112" s="105" t="s">
        <v>1662</v>
      </c>
      <c r="C112" s="243" t="s">
        <v>1663</v>
      </c>
      <c r="D112" s="105" t="s">
        <v>1664</v>
      </c>
      <c r="E112" s="243" t="s">
        <v>1665</v>
      </c>
      <c r="F112" s="270" t="s">
        <v>1666</v>
      </c>
      <c r="G112" s="75" t="s">
        <v>1636</v>
      </c>
      <c r="H112" s="242" t="s">
        <v>1621</v>
      </c>
      <c r="I112" s="193" t="s">
        <v>1667</v>
      </c>
      <c r="J112" s="197" t="s">
        <v>1623</v>
      </c>
      <c r="K112" s="197" t="s">
        <v>1623</v>
      </c>
      <c r="L112" s="188"/>
    </row>
    <row r="113" spans="1:12" ht="22.5">
      <c r="A113" s="199">
        <f>IF(B113="","",COUNTA($B$7:$B113))</f>
        <v>107</v>
      </c>
      <c r="B113" s="75" t="s">
        <v>1668</v>
      </c>
      <c r="C113" s="76" t="s">
        <v>1669</v>
      </c>
      <c r="D113" s="75" t="s">
        <v>1670</v>
      </c>
      <c r="E113" s="76" t="s">
        <v>1627</v>
      </c>
      <c r="F113" s="272" t="s">
        <v>1671</v>
      </c>
      <c r="G113" s="75" t="s">
        <v>1636</v>
      </c>
      <c r="H113" s="242" t="s">
        <v>1621</v>
      </c>
      <c r="I113" s="244" t="s">
        <v>1672</v>
      </c>
      <c r="J113" s="97" t="s">
        <v>1673</v>
      </c>
      <c r="K113" s="197" t="s">
        <v>1674</v>
      </c>
      <c r="L113" s="188"/>
    </row>
    <row r="114" spans="1:12" ht="22.5">
      <c r="A114" s="199">
        <f>IF(B114="","",COUNTA($B$7:$B114))</f>
        <v>108</v>
      </c>
      <c r="B114" s="75" t="s">
        <v>1675</v>
      </c>
      <c r="C114" s="76" t="s">
        <v>1676</v>
      </c>
      <c r="D114" s="75" t="s">
        <v>1677</v>
      </c>
      <c r="E114" s="76" t="s">
        <v>1678</v>
      </c>
      <c r="F114" s="208" t="s">
        <v>1679</v>
      </c>
      <c r="G114" s="75" t="s">
        <v>1620</v>
      </c>
      <c r="H114" s="245" t="s">
        <v>1680</v>
      </c>
      <c r="I114" s="193" t="s">
        <v>1681</v>
      </c>
      <c r="J114" s="197" t="s">
        <v>1623</v>
      </c>
      <c r="K114" s="197" t="s">
        <v>1623</v>
      </c>
      <c r="L114" s="188"/>
    </row>
    <row r="115" spans="1:12" ht="22.5">
      <c r="A115" s="199">
        <f>IF(B115="","",COUNTA($B$7:$B115))</f>
        <v>109</v>
      </c>
      <c r="B115" s="75" t="s">
        <v>1682</v>
      </c>
      <c r="C115" s="76" t="s">
        <v>1683</v>
      </c>
      <c r="D115" s="75" t="s">
        <v>1684</v>
      </c>
      <c r="E115" s="96" t="s">
        <v>1685</v>
      </c>
      <c r="F115" s="272" t="s">
        <v>1686</v>
      </c>
      <c r="G115" s="75" t="s">
        <v>1687</v>
      </c>
      <c r="H115" s="96" t="s">
        <v>1688</v>
      </c>
      <c r="I115" s="193" t="s">
        <v>1689</v>
      </c>
      <c r="J115" s="197" t="s">
        <v>1623</v>
      </c>
      <c r="K115" s="197" t="s">
        <v>1623</v>
      </c>
      <c r="L115" s="188"/>
    </row>
    <row r="116" spans="1:12" ht="22.5">
      <c r="A116" s="199">
        <f>IF(B116="","",COUNTA($B$7:$B116))</f>
        <v>110</v>
      </c>
      <c r="B116" s="75" t="s">
        <v>1837</v>
      </c>
      <c r="C116" s="76" t="s">
        <v>1690</v>
      </c>
      <c r="D116" s="75" t="s">
        <v>1691</v>
      </c>
      <c r="E116" s="96" t="s">
        <v>1692</v>
      </c>
      <c r="F116" s="272" t="s">
        <v>1693</v>
      </c>
      <c r="G116" s="75" t="s">
        <v>1636</v>
      </c>
      <c r="H116" s="242" t="s">
        <v>1621</v>
      </c>
      <c r="I116" s="193" t="s">
        <v>1694</v>
      </c>
      <c r="J116" s="197" t="s">
        <v>1695</v>
      </c>
      <c r="K116" s="197" t="s">
        <v>1623</v>
      </c>
      <c r="L116" s="188"/>
    </row>
    <row r="117" spans="1:12" ht="33.75">
      <c r="A117" s="199">
        <f>IF(B117="","",COUNTA($B$7:$B117))</f>
        <v>111</v>
      </c>
      <c r="B117" s="75" t="s">
        <v>1696</v>
      </c>
      <c r="C117" s="76" t="s">
        <v>1633</v>
      </c>
      <c r="D117" s="75" t="s">
        <v>1697</v>
      </c>
      <c r="E117" s="96" t="s">
        <v>1698</v>
      </c>
      <c r="F117" s="272" t="s">
        <v>1699</v>
      </c>
      <c r="G117" s="75" t="s">
        <v>1687</v>
      </c>
      <c r="H117" s="75" t="s">
        <v>1680</v>
      </c>
      <c r="I117" s="193" t="s">
        <v>1700</v>
      </c>
      <c r="J117" s="197" t="s">
        <v>1701</v>
      </c>
      <c r="K117" s="197" t="s">
        <v>1623</v>
      </c>
      <c r="L117" s="188"/>
    </row>
    <row r="118" spans="1:12" ht="22.5">
      <c r="A118" s="199">
        <f>IF(B118="","",COUNTA($B$7:$B118))</f>
        <v>112</v>
      </c>
      <c r="B118" s="75" t="s">
        <v>1702</v>
      </c>
      <c r="C118" s="76" t="s">
        <v>1703</v>
      </c>
      <c r="D118" s="75" t="s">
        <v>1704</v>
      </c>
      <c r="E118" s="76" t="s">
        <v>1642</v>
      </c>
      <c r="F118" s="272" t="s">
        <v>1705</v>
      </c>
      <c r="G118" s="75" t="s">
        <v>1636</v>
      </c>
      <c r="H118" s="242" t="s">
        <v>1621</v>
      </c>
      <c r="I118" s="193" t="s">
        <v>1706</v>
      </c>
      <c r="J118" s="197" t="s">
        <v>1707</v>
      </c>
      <c r="K118" s="197" t="s">
        <v>1707</v>
      </c>
      <c r="L118" s="188"/>
    </row>
    <row r="119" spans="1:12" ht="22.5">
      <c r="A119" s="252">
        <f>IF(B119="","",COUNTA($B$7:$B119))</f>
        <v>113</v>
      </c>
      <c r="B119" s="246" t="s">
        <v>1118</v>
      </c>
      <c r="C119" s="246" t="s">
        <v>1708</v>
      </c>
      <c r="D119" s="246" t="s">
        <v>1709</v>
      </c>
      <c r="E119" s="246" t="s">
        <v>1642</v>
      </c>
      <c r="F119" s="246" t="s">
        <v>1710</v>
      </c>
      <c r="G119" s="246" t="s">
        <v>1620</v>
      </c>
      <c r="H119" s="247" t="s">
        <v>1680</v>
      </c>
      <c r="I119" s="248" t="s">
        <v>1711</v>
      </c>
      <c r="J119" s="249" t="s">
        <v>1623</v>
      </c>
      <c r="K119" s="249" t="s">
        <v>1623</v>
      </c>
      <c r="L119" s="188"/>
    </row>
    <row r="120" spans="1:12" ht="14.25">
      <c r="A120" s="252">
        <f>IF(B120="","",COUNTA($B$7:$B120))</f>
        <v>114</v>
      </c>
      <c r="B120" s="246" t="s">
        <v>1712</v>
      </c>
      <c r="C120" s="246" t="s">
        <v>1713</v>
      </c>
      <c r="D120" s="246" t="s">
        <v>1626</v>
      </c>
      <c r="E120" s="246" t="s">
        <v>1714</v>
      </c>
      <c r="F120" s="246" t="s">
        <v>1715</v>
      </c>
      <c r="G120" s="246" t="s">
        <v>1687</v>
      </c>
      <c r="H120" s="250" t="s">
        <v>1716</v>
      </c>
      <c r="I120" s="251"/>
      <c r="J120" s="249" t="s">
        <v>1623</v>
      </c>
      <c r="K120" s="249" t="s">
        <v>1623</v>
      </c>
      <c r="L120" s="188"/>
    </row>
    <row r="121" spans="1:12" ht="22.5">
      <c r="A121" s="199"/>
      <c r="B121" s="75" t="s">
        <v>1717</v>
      </c>
      <c r="C121" s="76" t="s">
        <v>1718</v>
      </c>
      <c r="D121" s="75" t="s">
        <v>1719</v>
      </c>
      <c r="E121" s="96" t="s">
        <v>1618</v>
      </c>
      <c r="F121" s="272" t="s">
        <v>1720</v>
      </c>
      <c r="G121" s="75" t="s">
        <v>1620</v>
      </c>
      <c r="H121" s="96" t="s">
        <v>1644</v>
      </c>
      <c r="I121" s="193" t="s">
        <v>1721</v>
      </c>
      <c r="J121" s="197" t="s">
        <v>1623</v>
      </c>
      <c r="K121" s="197" t="s">
        <v>1623</v>
      </c>
      <c r="L121" s="188" t="s">
        <v>1722</v>
      </c>
    </row>
    <row r="122" spans="1:12" ht="22.5">
      <c r="A122" s="199">
        <f>IF(B122="","",COUNTA($B$7:$B122))</f>
        <v>116</v>
      </c>
      <c r="B122" s="200" t="s">
        <v>1723</v>
      </c>
      <c r="C122" s="97" t="s">
        <v>1724</v>
      </c>
      <c r="D122" s="96" t="s">
        <v>1725</v>
      </c>
      <c r="E122" s="96" t="s">
        <v>1618</v>
      </c>
      <c r="F122" s="269" t="s">
        <v>1726</v>
      </c>
      <c r="G122" s="75" t="s">
        <v>1636</v>
      </c>
      <c r="H122" s="96" t="s">
        <v>1644</v>
      </c>
      <c r="I122" s="193" t="s">
        <v>1727</v>
      </c>
      <c r="J122" s="197" t="s">
        <v>1728</v>
      </c>
      <c r="K122" s="197" t="s">
        <v>1728</v>
      </c>
    </row>
    <row r="123" spans="1:12" ht="22.5">
      <c r="A123" s="199">
        <f>IF(B123="","",COUNTA($B$7:$B123))</f>
        <v>117</v>
      </c>
      <c r="B123" s="200" t="s">
        <v>1729</v>
      </c>
      <c r="C123" s="97" t="s">
        <v>1730</v>
      </c>
      <c r="D123" s="96" t="s">
        <v>1731</v>
      </c>
      <c r="E123" s="96" t="s">
        <v>1698</v>
      </c>
      <c r="F123" s="269" t="s">
        <v>1732</v>
      </c>
      <c r="G123" s="75" t="s">
        <v>1687</v>
      </c>
      <c r="H123" s="245" t="s">
        <v>1680</v>
      </c>
      <c r="I123" s="193" t="s">
        <v>1733</v>
      </c>
      <c r="J123" s="197" t="s">
        <v>1728</v>
      </c>
      <c r="K123" s="197" t="s">
        <v>1728</v>
      </c>
    </row>
    <row r="124" spans="1:12" ht="33.75">
      <c r="A124" s="199">
        <f>IF(B124="","",COUNTA($B$7:$B124))</f>
        <v>118</v>
      </c>
      <c r="B124" s="200" t="s">
        <v>1734</v>
      </c>
      <c r="C124" s="96" t="s">
        <v>869</v>
      </c>
      <c r="D124" s="96" t="s">
        <v>1735</v>
      </c>
      <c r="E124" s="96" t="s">
        <v>1618</v>
      </c>
      <c r="F124" s="269" t="s">
        <v>1736</v>
      </c>
      <c r="G124" s="75" t="s">
        <v>1636</v>
      </c>
      <c r="H124" s="96" t="s">
        <v>1644</v>
      </c>
      <c r="I124" s="193" t="s">
        <v>1737</v>
      </c>
      <c r="J124" s="197" t="s">
        <v>1728</v>
      </c>
      <c r="K124" s="197" t="s">
        <v>1728</v>
      </c>
    </row>
    <row r="125" spans="1:12" ht="22.5">
      <c r="A125" s="199">
        <f>IF(B125="","",COUNTA($B$7:$B125))</f>
        <v>119</v>
      </c>
      <c r="B125" s="200" t="s">
        <v>1738</v>
      </c>
      <c r="C125" s="97" t="s">
        <v>1739</v>
      </c>
      <c r="D125" s="96" t="s">
        <v>1740</v>
      </c>
      <c r="E125" s="96" t="s">
        <v>1618</v>
      </c>
      <c r="F125" s="269" t="s">
        <v>1741</v>
      </c>
      <c r="G125" s="75" t="s">
        <v>1620</v>
      </c>
      <c r="H125" s="245" t="s">
        <v>1680</v>
      </c>
      <c r="I125" s="193" t="s">
        <v>1742</v>
      </c>
      <c r="J125" s="197" t="s">
        <v>1728</v>
      </c>
      <c r="K125" s="197" t="s">
        <v>1728</v>
      </c>
    </row>
    <row r="126" spans="1:12" ht="22.5">
      <c r="A126" s="199">
        <f>IF(B126="","",COUNTA($B$7:$B126))</f>
        <v>120</v>
      </c>
      <c r="B126" s="200" t="s">
        <v>1743</v>
      </c>
      <c r="C126" s="97" t="s">
        <v>1744</v>
      </c>
      <c r="D126" s="96" t="s">
        <v>1745</v>
      </c>
      <c r="E126" s="96" t="s">
        <v>1685</v>
      </c>
      <c r="F126" s="269" t="s">
        <v>1746</v>
      </c>
      <c r="G126" s="75" t="s">
        <v>1687</v>
      </c>
      <c r="H126" s="245" t="s">
        <v>1680</v>
      </c>
      <c r="I126" s="193" t="s">
        <v>1747</v>
      </c>
      <c r="J126" s="197" t="s">
        <v>1728</v>
      </c>
      <c r="K126" s="197" t="s">
        <v>1728</v>
      </c>
    </row>
    <row r="127" spans="1:12" ht="22.5">
      <c r="A127" s="199">
        <f>IF(B127="","",COUNTA($B$7:$B127))</f>
        <v>121</v>
      </c>
      <c r="B127" s="200" t="s">
        <v>1748</v>
      </c>
      <c r="C127" s="97" t="s">
        <v>1749</v>
      </c>
      <c r="D127" s="96" t="s">
        <v>1750</v>
      </c>
      <c r="E127" s="96" t="s">
        <v>1642</v>
      </c>
      <c r="F127" s="269" t="s">
        <v>1751</v>
      </c>
      <c r="G127" s="75" t="s">
        <v>1620</v>
      </c>
      <c r="H127" s="242" t="s">
        <v>1621</v>
      </c>
      <c r="I127" s="193" t="s">
        <v>1752</v>
      </c>
      <c r="J127" s="197" t="s">
        <v>1728</v>
      </c>
      <c r="K127" s="197" t="s">
        <v>1728</v>
      </c>
    </row>
    <row r="128" spans="1:12" ht="33.75">
      <c r="A128" s="199">
        <f>IF(B128="","",COUNTA($B$7:$B128))</f>
        <v>122</v>
      </c>
      <c r="B128" s="200" t="s">
        <v>1753</v>
      </c>
      <c r="C128" s="243" t="s">
        <v>1754</v>
      </c>
      <c r="D128" s="96" t="s">
        <v>1755</v>
      </c>
      <c r="E128" s="96" t="s">
        <v>1618</v>
      </c>
      <c r="F128" s="270" t="s">
        <v>1756</v>
      </c>
      <c r="G128" s="75" t="s">
        <v>1636</v>
      </c>
      <c r="H128" s="96" t="s">
        <v>1644</v>
      </c>
      <c r="I128" s="193" t="s">
        <v>1757</v>
      </c>
      <c r="J128" s="197" t="s">
        <v>1758</v>
      </c>
      <c r="K128" s="197" t="s">
        <v>1728</v>
      </c>
    </row>
    <row r="129" spans="1:11" ht="22.5">
      <c r="A129" s="199">
        <f>IF(B129="","",COUNTA($B$7:$B129))</f>
        <v>123</v>
      </c>
      <c r="B129" s="105" t="s">
        <v>1759</v>
      </c>
      <c r="C129" s="243" t="s">
        <v>1760</v>
      </c>
      <c r="D129" s="105" t="s">
        <v>1761</v>
      </c>
      <c r="E129" s="96" t="s">
        <v>1618</v>
      </c>
      <c r="F129" s="270" t="s">
        <v>1762</v>
      </c>
      <c r="G129" s="75" t="s">
        <v>1636</v>
      </c>
      <c r="H129" s="242" t="s">
        <v>1621</v>
      </c>
      <c r="I129" s="193" t="s">
        <v>1763</v>
      </c>
      <c r="J129" s="197" t="s">
        <v>1638</v>
      </c>
      <c r="K129" s="197" t="s">
        <v>1728</v>
      </c>
    </row>
    <row r="130" spans="1:11" ht="22.5">
      <c r="A130" s="199">
        <f>IF(B130="","",COUNTA($B$7:$B130))</f>
        <v>124</v>
      </c>
      <c r="B130" s="200" t="s">
        <v>1764</v>
      </c>
      <c r="C130" s="76" t="s">
        <v>1765</v>
      </c>
      <c r="D130" s="75" t="s">
        <v>1766</v>
      </c>
      <c r="E130" s="96" t="s">
        <v>1685</v>
      </c>
      <c r="F130" s="269" t="s">
        <v>1767</v>
      </c>
      <c r="G130" s="75" t="s">
        <v>1620</v>
      </c>
      <c r="H130" s="242" t="s">
        <v>1621</v>
      </c>
      <c r="I130" s="244" t="s">
        <v>1768</v>
      </c>
      <c r="J130" s="197" t="s">
        <v>1728</v>
      </c>
      <c r="K130" s="197" t="s">
        <v>1728</v>
      </c>
    </row>
    <row r="131" spans="1:11" ht="22.5">
      <c r="A131" s="199">
        <f>IF(B131="","",COUNTA($B$7:$B131))</f>
        <v>125</v>
      </c>
      <c r="B131" s="200" t="s">
        <v>1769</v>
      </c>
      <c r="C131" s="76" t="s">
        <v>1713</v>
      </c>
      <c r="D131" s="75" t="s">
        <v>1770</v>
      </c>
      <c r="E131" s="76" t="s">
        <v>1627</v>
      </c>
      <c r="F131" s="272" t="s">
        <v>1771</v>
      </c>
      <c r="G131" s="75" t="s">
        <v>1636</v>
      </c>
      <c r="H131" s="96" t="s">
        <v>1644</v>
      </c>
      <c r="I131" s="193" t="s">
        <v>1772</v>
      </c>
      <c r="J131" s="197" t="s">
        <v>1728</v>
      </c>
      <c r="K131" s="197" t="s">
        <v>1728</v>
      </c>
    </row>
    <row r="132" spans="1:11" ht="33.75">
      <c r="A132" s="199">
        <f>IF(B132="","",COUNTA($B$7:$B132))</f>
        <v>126</v>
      </c>
      <c r="B132" s="75" t="s">
        <v>1076</v>
      </c>
      <c r="C132" s="76" t="s">
        <v>1773</v>
      </c>
      <c r="D132" s="75" t="s">
        <v>1774</v>
      </c>
      <c r="E132" s="76" t="s">
        <v>1642</v>
      </c>
      <c r="F132" s="272" t="s">
        <v>1775</v>
      </c>
      <c r="G132" s="75" t="s">
        <v>1620</v>
      </c>
      <c r="H132" s="245" t="s">
        <v>1680</v>
      </c>
      <c r="I132" s="193" t="s">
        <v>1776</v>
      </c>
      <c r="J132" s="197" t="s">
        <v>1728</v>
      </c>
      <c r="K132" s="197" t="s">
        <v>1728</v>
      </c>
    </row>
    <row r="133" spans="1:11" ht="22.5">
      <c r="A133" s="199">
        <f>IF(B133="","",COUNTA($B$7:$B133))</f>
        <v>127</v>
      </c>
      <c r="B133" s="75" t="s">
        <v>1777</v>
      </c>
      <c r="C133" s="76" t="s">
        <v>1778</v>
      </c>
      <c r="D133" s="75" t="s">
        <v>1779</v>
      </c>
      <c r="E133" s="96" t="s">
        <v>1780</v>
      </c>
      <c r="F133" s="272" t="s">
        <v>1781</v>
      </c>
      <c r="G133" s="75" t="s">
        <v>1687</v>
      </c>
      <c r="H133" s="242" t="s">
        <v>1621</v>
      </c>
      <c r="I133" s="193" t="s">
        <v>1782</v>
      </c>
      <c r="J133" s="197" t="s">
        <v>1728</v>
      </c>
      <c r="K133" s="197" t="s">
        <v>1728</v>
      </c>
    </row>
    <row r="134" spans="1:11" ht="33.75">
      <c r="A134" s="199">
        <f>IF(B134="","",COUNTA($B$7:$B134))</f>
        <v>128</v>
      </c>
      <c r="B134" s="75" t="s">
        <v>1783</v>
      </c>
      <c r="C134" s="76" t="s">
        <v>1708</v>
      </c>
      <c r="D134" s="75" t="s">
        <v>1784</v>
      </c>
      <c r="E134" s="96" t="s">
        <v>1618</v>
      </c>
      <c r="F134" s="272" t="s">
        <v>1785</v>
      </c>
      <c r="G134" s="75" t="s">
        <v>1636</v>
      </c>
      <c r="H134" s="96" t="s">
        <v>1644</v>
      </c>
      <c r="I134" s="193" t="s">
        <v>1786</v>
      </c>
      <c r="J134" s="197" t="s">
        <v>1728</v>
      </c>
      <c r="K134" s="197" t="s">
        <v>1728</v>
      </c>
    </row>
    <row r="135" spans="1:11" ht="33.75">
      <c r="A135" s="199">
        <f>IF(B135="","",COUNTA($B$7:$B135))</f>
        <v>129</v>
      </c>
      <c r="B135" s="75" t="s">
        <v>556</v>
      </c>
      <c r="C135" s="76" t="s">
        <v>1787</v>
      </c>
      <c r="D135" s="75" t="s">
        <v>1788</v>
      </c>
      <c r="E135" s="96" t="s">
        <v>1642</v>
      </c>
      <c r="F135" s="208" t="s">
        <v>1789</v>
      </c>
      <c r="G135" s="75" t="s">
        <v>1620</v>
      </c>
      <c r="H135" s="245" t="s">
        <v>1680</v>
      </c>
      <c r="I135" s="253" t="s">
        <v>1790</v>
      </c>
      <c r="J135" s="197" t="s">
        <v>1728</v>
      </c>
      <c r="K135" s="197" t="s">
        <v>1728</v>
      </c>
    </row>
    <row r="136" spans="1:11" ht="33.75">
      <c r="A136" s="199">
        <f>IF(B136="","",COUNTA($B$7:$B136))</f>
        <v>130</v>
      </c>
      <c r="B136" s="75" t="s">
        <v>552</v>
      </c>
      <c r="C136" s="76" t="s">
        <v>1791</v>
      </c>
      <c r="D136" s="96" t="s">
        <v>1792</v>
      </c>
      <c r="E136" s="96" t="s">
        <v>1618</v>
      </c>
      <c r="F136" s="208" t="s">
        <v>1793</v>
      </c>
      <c r="G136" s="75" t="s">
        <v>1620</v>
      </c>
      <c r="H136" s="75" t="s">
        <v>1680</v>
      </c>
      <c r="I136" s="253" t="s">
        <v>1794</v>
      </c>
      <c r="J136" s="197" t="s">
        <v>1728</v>
      </c>
      <c r="K136" s="197" t="s">
        <v>1728</v>
      </c>
    </row>
    <row r="137" spans="1:11" ht="33.75">
      <c r="A137" s="199">
        <f>IF(B137="","",COUNTA($B$7:$B137))</f>
        <v>131</v>
      </c>
      <c r="B137" s="75" t="s">
        <v>1795</v>
      </c>
      <c r="C137" s="75" t="s">
        <v>1796</v>
      </c>
      <c r="D137" s="75" t="s">
        <v>1797</v>
      </c>
      <c r="E137" s="96" t="s">
        <v>1798</v>
      </c>
      <c r="F137" s="272" t="s">
        <v>1799</v>
      </c>
      <c r="G137" s="75" t="s">
        <v>1687</v>
      </c>
      <c r="H137" s="242" t="s">
        <v>1621</v>
      </c>
      <c r="I137" s="193" t="s">
        <v>1800</v>
      </c>
      <c r="J137" s="254" t="s">
        <v>1801</v>
      </c>
      <c r="K137" s="254" t="s">
        <v>1801</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47" t="e">
        <f>VLOOKUP(X2,#REF!,11,0)</f>
        <v>#REF!</v>
      </c>
      <c r="N2" s="348"/>
      <c r="O2" s="348"/>
      <c r="P2" s="349"/>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50" t="e">
        <f>VLOOKUP(X2,#REF!,12,0)</f>
        <v>#REF!</v>
      </c>
      <c r="N4" s="351"/>
      <c r="O4" s="351"/>
      <c r="P4" s="352"/>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33" t="s">
        <v>8</v>
      </c>
      <c r="L6" s="353"/>
      <c r="M6" s="6" t="s">
        <v>9</v>
      </c>
      <c r="N6" s="100"/>
      <c r="P6" s="28" t="s">
        <v>8</v>
      </c>
      <c r="Q6" s="7" t="s">
        <v>9</v>
      </c>
      <c r="R6" s="30"/>
      <c r="T6" s="28" t="s">
        <v>8</v>
      </c>
      <c r="U6" s="7" t="s">
        <v>9</v>
      </c>
      <c r="V6" s="30"/>
    </row>
    <row r="7" spans="1:24" ht="12" customHeight="1" thickTop="1">
      <c r="B7" s="31" t="s">
        <v>10</v>
      </c>
      <c r="C7" s="32"/>
      <c r="D7" s="32"/>
      <c r="E7" s="12"/>
      <c r="F7" s="12"/>
      <c r="G7" s="12"/>
      <c r="H7" s="18"/>
      <c r="K7" s="336" t="s">
        <v>11</v>
      </c>
      <c r="L7" s="346"/>
      <c r="M7" s="35" t="s">
        <v>12</v>
      </c>
      <c r="N7" s="37"/>
      <c r="O7" s="37"/>
      <c r="P7" s="38"/>
      <c r="Q7" s="36" t="s">
        <v>13</v>
      </c>
      <c r="R7" s="327"/>
      <c r="T7" s="39" t="s">
        <v>14</v>
      </c>
      <c r="U7" s="17"/>
      <c r="V7" s="99"/>
    </row>
    <row r="8" spans="1:24" ht="12" customHeight="1" thickBot="1">
      <c r="B8" s="11"/>
      <c r="C8" s="12"/>
      <c r="D8" s="12"/>
      <c r="E8" s="12"/>
      <c r="F8" s="12"/>
      <c r="G8" s="12"/>
      <c r="H8" s="18"/>
      <c r="K8" s="336" t="s">
        <v>207</v>
      </c>
      <c r="L8" s="346"/>
      <c r="M8" s="40"/>
      <c r="N8" s="98"/>
      <c r="O8" s="37"/>
      <c r="P8" s="42"/>
      <c r="Q8" s="43"/>
      <c r="R8" s="329"/>
      <c r="T8" s="11"/>
      <c r="U8" s="12"/>
      <c r="V8" s="18"/>
    </row>
    <row r="9" spans="1:24" ht="12" customHeight="1" thickTop="1">
      <c r="B9" s="44" t="s">
        <v>208</v>
      </c>
      <c r="C9" s="35"/>
      <c r="D9" s="35"/>
      <c r="E9" s="36" t="s">
        <v>15</v>
      </c>
      <c r="F9" s="35"/>
      <c r="G9" s="35"/>
      <c r="H9" s="327"/>
      <c r="K9" s="11"/>
      <c r="L9" s="13"/>
      <c r="M9" s="36" t="s">
        <v>16</v>
      </c>
      <c r="N9" s="102"/>
      <c r="O9" s="37"/>
      <c r="P9" s="38" t="s">
        <v>209</v>
      </c>
      <c r="Q9" s="36" t="s">
        <v>17</v>
      </c>
      <c r="R9" s="102"/>
      <c r="S9" s="37"/>
      <c r="T9" s="45" t="s">
        <v>18</v>
      </c>
      <c r="U9" s="36" t="s">
        <v>19</v>
      </c>
      <c r="V9" s="327"/>
    </row>
    <row r="10" spans="1:24" ht="12" customHeight="1" thickBot="1">
      <c r="B10" s="46"/>
      <c r="C10" s="40"/>
      <c r="D10" s="40"/>
      <c r="E10" s="41"/>
      <c r="F10" s="40"/>
      <c r="G10" s="40"/>
      <c r="H10" s="328"/>
      <c r="K10" s="11"/>
      <c r="L10" s="13"/>
      <c r="M10" s="41" t="s">
        <v>20</v>
      </c>
      <c r="N10" s="98"/>
      <c r="O10" s="37"/>
      <c r="P10" s="42"/>
      <c r="Q10" s="41"/>
      <c r="R10" s="98"/>
      <c r="S10" s="37"/>
      <c r="T10" s="38" t="s">
        <v>21</v>
      </c>
      <c r="U10" s="47"/>
      <c r="V10" s="328"/>
    </row>
    <row r="11" spans="1:24" ht="12" customHeight="1" thickTop="1">
      <c r="B11" s="11" t="s">
        <v>210</v>
      </c>
      <c r="C11" s="12"/>
      <c r="D11" s="12"/>
      <c r="E11" s="36" t="s">
        <v>22</v>
      </c>
      <c r="F11" s="12"/>
      <c r="G11" s="12"/>
      <c r="H11" s="327"/>
      <c r="K11" s="11"/>
      <c r="L11" s="13"/>
      <c r="M11" s="36" t="s">
        <v>23</v>
      </c>
      <c r="N11" s="329"/>
      <c r="P11" s="31" t="s">
        <v>24</v>
      </c>
      <c r="Q11" s="12"/>
      <c r="R11" s="12"/>
      <c r="S11" s="37"/>
      <c r="T11" s="38"/>
      <c r="U11" s="17" t="s">
        <v>25</v>
      </c>
      <c r="V11" s="327"/>
    </row>
    <row r="12" spans="1:24" ht="12" customHeight="1" thickBot="1">
      <c r="B12" s="11"/>
      <c r="C12" s="12"/>
      <c r="D12" s="12"/>
      <c r="E12" s="41"/>
      <c r="F12" s="12"/>
      <c r="G12" s="12"/>
      <c r="H12" s="328"/>
      <c r="K12" s="46"/>
      <c r="L12" s="48"/>
      <c r="M12" s="41"/>
      <c r="N12" s="328"/>
      <c r="P12" s="46"/>
      <c r="Q12" s="40"/>
      <c r="R12" s="26"/>
      <c r="S12" s="37"/>
      <c r="T12" s="42"/>
      <c r="U12" s="41"/>
      <c r="V12" s="328"/>
    </row>
    <row r="13" spans="1:24" ht="12" customHeight="1" thickTop="1">
      <c r="B13" s="11"/>
      <c r="C13" s="12"/>
      <c r="D13" s="12"/>
      <c r="E13" s="36" t="s">
        <v>26</v>
      </c>
      <c r="F13" s="35"/>
      <c r="G13" s="35"/>
      <c r="H13" s="327"/>
      <c r="K13" s="344" t="s">
        <v>211</v>
      </c>
      <c r="L13" s="345"/>
      <c r="M13" s="36" t="s">
        <v>27</v>
      </c>
      <c r="N13" s="327"/>
      <c r="P13" s="45" t="s">
        <v>212</v>
      </c>
      <c r="Q13" s="36" t="s">
        <v>28</v>
      </c>
      <c r="R13" s="37"/>
      <c r="S13" s="37"/>
      <c r="T13" s="38" t="s">
        <v>29</v>
      </c>
      <c r="U13" s="17" t="s">
        <v>30</v>
      </c>
      <c r="V13" s="327"/>
    </row>
    <row r="14" spans="1:24" ht="12" customHeight="1" thickBot="1">
      <c r="B14" s="11"/>
      <c r="C14" s="40"/>
      <c r="D14" s="48"/>
      <c r="E14" s="41"/>
      <c r="F14" s="40"/>
      <c r="G14" s="40"/>
      <c r="H14" s="329"/>
      <c r="K14" s="46"/>
      <c r="L14" s="48"/>
      <c r="M14" s="41"/>
      <c r="N14" s="329"/>
      <c r="P14" s="11"/>
      <c r="Q14" s="41" t="s">
        <v>31</v>
      </c>
      <c r="R14" s="98"/>
      <c r="S14" s="37"/>
      <c r="T14" s="38" t="s">
        <v>32</v>
      </c>
      <c r="U14" s="17"/>
      <c r="V14" s="328"/>
    </row>
    <row r="15" spans="1:24" ht="12" customHeight="1" thickTop="1">
      <c r="B15" s="45" t="s">
        <v>33</v>
      </c>
      <c r="C15" s="12"/>
      <c r="D15" s="53"/>
      <c r="E15" s="12" t="s">
        <v>34</v>
      </c>
      <c r="F15" s="12"/>
      <c r="G15" s="12"/>
      <c r="H15" s="102"/>
      <c r="I15" s="11"/>
      <c r="K15" s="344" t="s">
        <v>213</v>
      </c>
      <c r="L15" s="345"/>
      <c r="M15" s="12" t="s">
        <v>35</v>
      </c>
      <c r="N15" s="102"/>
      <c r="O15" s="37"/>
      <c r="P15" s="11"/>
      <c r="Q15" s="36" t="s">
        <v>36</v>
      </c>
      <c r="R15" s="37"/>
      <c r="S15" s="37"/>
      <c r="T15" s="38"/>
      <c r="U15" s="36" t="s">
        <v>37</v>
      </c>
      <c r="V15" s="327"/>
    </row>
    <row r="16" spans="1:24" ht="12" customHeight="1" thickBot="1">
      <c r="B16" s="11"/>
      <c r="C16" s="12"/>
      <c r="D16" s="12"/>
      <c r="E16" s="17"/>
      <c r="F16" s="12"/>
      <c r="G16" s="12"/>
      <c r="H16" s="98"/>
      <c r="I16" s="11"/>
      <c r="K16" s="336" t="s">
        <v>38</v>
      </c>
      <c r="L16" s="346"/>
      <c r="M16" s="12" t="s">
        <v>241</v>
      </c>
      <c r="N16" s="98"/>
      <c r="O16" s="37"/>
      <c r="P16" s="11"/>
      <c r="Q16" s="41"/>
      <c r="R16" s="98"/>
      <c r="S16" s="37"/>
      <c r="T16" s="38"/>
      <c r="U16" s="17" t="s">
        <v>39</v>
      </c>
      <c r="V16" s="328"/>
    </row>
    <row r="17" spans="2:23" ht="12" customHeight="1" thickTop="1">
      <c r="B17" s="11"/>
      <c r="C17" s="12"/>
      <c r="D17" s="12"/>
      <c r="E17" s="36" t="s">
        <v>214</v>
      </c>
      <c r="F17" s="35"/>
      <c r="G17" s="35"/>
      <c r="H17" s="329"/>
      <c r="K17" s="11"/>
      <c r="L17" s="13"/>
      <c r="M17" s="36" t="s">
        <v>40</v>
      </c>
      <c r="N17" s="102"/>
      <c r="O17" s="37"/>
      <c r="P17" s="11"/>
      <c r="Q17" s="36" t="s">
        <v>41</v>
      </c>
      <c r="R17" s="37"/>
      <c r="S17" s="37"/>
      <c r="T17" s="38"/>
      <c r="U17" s="36" t="s">
        <v>42</v>
      </c>
      <c r="V17" s="327"/>
    </row>
    <row r="18" spans="2:23" ht="12" customHeight="1" thickBot="1">
      <c r="B18" s="46"/>
      <c r="C18" s="40"/>
      <c r="D18" s="40"/>
      <c r="E18" s="41" t="s">
        <v>43</v>
      </c>
      <c r="F18" s="40"/>
      <c r="G18" s="40"/>
      <c r="H18" s="329"/>
      <c r="K18" s="11"/>
      <c r="L18" s="13"/>
      <c r="M18" s="41"/>
      <c r="N18" s="98"/>
      <c r="O18" s="37"/>
      <c r="P18" s="46"/>
      <c r="Q18" s="41"/>
      <c r="R18" s="98"/>
      <c r="S18" s="37"/>
      <c r="T18" s="38"/>
      <c r="U18" s="41"/>
      <c r="V18" s="328"/>
    </row>
    <row r="19" spans="2:23" ht="12" customHeight="1" thickTop="1">
      <c r="B19" s="45" t="s">
        <v>215</v>
      </c>
      <c r="C19" s="35"/>
      <c r="D19" s="35"/>
      <c r="E19" s="36" t="s">
        <v>44</v>
      </c>
      <c r="F19" s="12"/>
      <c r="G19" s="12"/>
      <c r="H19" s="102"/>
      <c r="I19" s="11"/>
      <c r="K19" s="11"/>
      <c r="L19" s="13"/>
      <c r="M19" s="36" t="s">
        <v>45</v>
      </c>
      <c r="N19" s="329"/>
      <c r="P19" s="45" t="s">
        <v>46</v>
      </c>
      <c r="Q19" s="36" t="s">
        <v>47</v>
      </c>
      <c r="R19" s="37"/>
      <c r="S19" s="37"/>
      <c r="T19" s="45" t="s">
        <v>48</v>
      </c>
      <c r="U19" s="36" t="s">
        <v>49</v>
      </c>
      <c r="V19" s="327"/>
    </row>
    <row r="20" spans="2:23" ht="12" customHeight="1" thickBot="1">
      <c r="B20" s="46"/>
      <c r="C20" s="40"/>
      <c r="D20" s="48"/>
      <c r="E20" s="41"/>
      <c r="F20" s="12"/>
      <c r="G20" s="12"/>
      <c r="H20" s="98"/>
      <c r="I20" s="11"/>
      <c r="K20" s="11"/>
      <c r="L20" s="13"/>
      <c r="M20" s="41"/>
      <c r="N20" s="329"/>
      <c r="P20" s="42" t="s">
        <v>216</v>
      </c>
      <c r="Q20" s="41"/>
      <c r="R20" s="98"/>
      <c r="S20" s="37"/>
      <c r="T20" s="38" t="s">
        <v>50</v>
      </c>
      <c r="U20" s="17" t="s">
        <v>51</v>
      </c>
      <c r="V20" s="328"/>
    </row>
    <row r="21" spans="2:23" ht="12" customHeight="1" thickTop="1">
      <c r="B21" s="45" t="s">
        <v>52</v>
      </c>
      <c r="C21" s="35"/>
      <c r="D21" s="35"/>
      <c r="E21" s="36" t="s">
        <v>217</v>
      </c>
      <c r="F21" s="35"/>
      <c r="G21" s="54"/>
      <c r="H21" s="329"/>
      <c r="K21" s="344" t="s">
        <v>218</v>
      </c>
      <c r="L21" s="345"/>
      <c r="M21" s="36" t="s">
        <v>53</v>
      </c>
      <c r="N21" s="102"/>
      <c r="O21" s="37"/>
      <c r="P21" s="45" t="s">
        <v>54</v>
      </c>
      <c r="Q21" s="36" t="s">
        <v>55</v>
      </c>
      <c r="R21" s="102"/>
      <c r="S21" s="37"/>
      <c r="T21" s="38"/>
      <c r="U21" s="36" t="s">
        <v>56</v>
      </c>
      <c r="V21" s="327"/>
    </row>
    <row r="22" spans="2:23" ht="12" customHeight="1" thickBot="1">
      <c r="B22" s="46"/>
      <c r="C22" s="40"/>
      <c r="D22" s="40"/>
      <c r="E22" s="41"/>
      <c r="F22" s="40"/>
      <c r="G22" s="55"/>
      <c r="H22" s="329"/>
      <c r="K22" s="336" t="s">
        <v>219</v>
      </c>
      <c r="L22" s="346"/>
      <c r="M22" s="41"/>
      <c r="N22" s="98"/>
      <c r="O22" s="37"/>
      <c r="P22" s="38" t="s">
        <v>220</v>
      </c>
      <c r="Q22" s="41"/>
      <c r="R22" s="98"/>
      <c r="S22" s="37"/>
      <c r="T22" s="38"/>
      <c r="U22" s="41"/>
      <c r="V22" s="328"/>
    </row>
    <row r="23" spans="2:23" ht="12" customHeight="1" thickTop="1">
      <c r="B23" s="45" t="s">
        <v>221</v>
      </c>
      <c r="C23" s="35"/>
      <c r="D23" s="35"/>
      <c r="E23" s="36" t="s">
        <v>57</v>
      </c>
      <c r="F23" s="12"/>
      <c r="G23" s="12"/>
      <c r="H23" s="102"/>
      <c r="I23" s="11"/>
      <c r="K23" s="11"/>
      <c r="L23" s="13"/>
      <c r="M23" s="36" t="s">
        <v>58</v>
      </c>
      <c r="N23" s="102"/>
      <c r="O23" s="37"/>
      <c r="P23" s="38"/>
      <c r="Q23" s="12" t="s">
        <v>59</v>
      </c>
      <c r="R23" s="329"/>
      <c r="T23" s="38"/>
      <c r="U23" s="36" t="s">
        <v>60</v>
      </c>
      <c r="V23" s="327"/>
    </row>
    <row r="24" spans="2:23" ht="12" customHeight="1" thickBot="1">
      <c r="B24" s="11" t="s">
        <v>21</v>
      </c>
      <c r="C24" s="12"/>
      <c r="D24" s="12"/>
      <c r="E24" s="41"/>
      <c r="F24" s="40"/>
      <c r="G24" s="40"/>
      <c r="H24" s="98"/>
      <c r="I24" s="11"/>
      <c r="K24" s="11"/>
      <c r="L24" s="13"/>
      <c r="M24" s="17"/>
      <c r="N24" s="98"/>
      <c r="O24" s="37"/>
      <c r="P24" s="38"/>
      <c r="Q24" s="12" t="s">
        <v>61</v>
      </c>
      <c r="R24" s="328"/>
      <c r="T24" s="38"/>
      <c r="U24" s="41"/>
      <c r="V24" s="328"/>
    </row>
    <row r="25" spans="2:23" ht="12" customHeight="1" thickTop="1">
      <c r="B25" s="11"/>
      <c r="C25" s="12"/>
      <c r="D25" s="12"/>
      <c r="E25" s="36" t="s">
        <v>62</v>
      </c>
      <c r="F25" s="35"/>
      <c r="G25" s="35"/>
      <c r="H25" s="102"/>
      <c r="I25" s="11"/>
      <c r="K25" s="11"/>
      <c r="L25" s="13"/>
      <c r="M25" s="36" t="s">
        <v>63</v>
      </c>
      <c r="N25" s="329"/>
      <c r="P25" s="38"/>
      <c r="Q25" s="36" t="s">
        <v>64</v>
      </c>
      <c r="R25" s="327"/>
      <c r="T25" s="38"/>
      <c r="U25" s="17" t="s">
        <v>65</v>
      </c>
      <c r="V25" s="327"/>
    </row>
    <row r="26" spans="2:23" ht="12" customHeight="1" thickBot="1">
      <c r="B26" s="11"/>
      <c r="C26" s="12"/>
      <c r="D26" s="12"/>
      <c r="E26" s="41"/>
      <c r="F26" s="12"/>
      <c r="G26" s="12"/>
      <c r="H26" s="98"/>
      <c r="I26" s="11"/>
      <c r="K26" s="11"/>
      <c r="L26" s="13"/>
      <c r="M26" s="41"/>
      <c r="N26" s="328"/>
      <c r="P26" s="38"/>
      <c r="Q26" s="41"/>
      <c r="R26" s="328"/>
      <c r="T26" s="38"/>
      <c r="U26" s="41" t="s">
        <v>66</v>
      </c>
      <c r="V26" s="328"/>
    </row>
    <row r="27" spans="2:23" ht="12" customHeight="1" thickTop="1">
      <c r="B27" s="11"/>
      <c r="C27" s="12"/>
      <c r="D27" s="12"/>
      <c r="E27" s="36" t="s">
        <v>26</v>
      </c>
      <c r="F27" s="35"/>
      <c r="G27" s="54"/>
      <c r="H27" s="329"/>
      <c r="K27" s="11"/>
      <c r="L27" s="13"/>
      <c r="M27" s="36" t="s">
        <v>67</v>
      </c>
      <c r="N27" s="327"/>
      <c r="P27" s="38"/>
      <c r="Q27" s="36" t="s">
        <v>222</v>
      </c>
      <c r="R27" s="327"/>
      <c r="T27" s="38"/>
      <c r="U27" s="17" t="s">
        <v>68</v>
      </c>
      <c r="V27" s="327"/>
    </row>
    <row r="28" spans="2:23" ht="12" customHeight="1" thickBot="1">
      <c r="B28" s="46"/>
      <c r="C28" s="40"/>
      <c r="D28" s="40"/>
      <c r="E28" s="41"/>
      <c r="F28" s="40"/>
      <c r="G28" s="55"/>
      <c r="H28" s="328"/>
      <c r="K28" s="46"/>
      <c r="L28" s="48"/>
      <c r="M28" s="41"/>
      <c r="N28" s="328"/>
      <c r="P28" s="42"/>
      <c r="Q28" s="41"/>
      <c r="R28" s="329"/>
      <c r="T28" s="56"/>
      <c r="U28" s="57"/>
      <c r="V28" s="328"/>
    </row>
    <row r="29" spans="2:23" ht="12" customHeight="1" thickTop="1">
      <c r="B29" s="31" t="s">
        <v>69</v>
      </c>
      <c r="C29" s="32"/>
      <c r="D29" s="32"/>
      <c r="E29" s="12"/>
      <c r="F29" s="12"/>
      <c r="G29" s="12"/>
      <c r="H29" s="12"/>
      <c r="I29" s="11"/>
      <c r="K29" s="344" t="s">
        <v>70</v>
      </c>
      <c r="L29" s="345"/>
      <c r="M29" s="12" t="s">
        <v>66</v>
      </c>
      <c r="N29" s="327"/>
      <c r="P29" s="38" t="s">
        <v>223</v>
      </c>
      <c r="Q29" s="17" t="s">
        <v>47</v>
      </c>
      <c r="R29" s="103"/>
      <c r="S29" s="37"/>
      <c r="T29" s="38" t="s">
        <v>71</v>
      </c>
      <c r="U29" s="17" t="s">
        <v>36</v>
      </c>
      <c r="V29" s="58"/>
    </row>
    <row r="30" spans="2:23" ht="12" customHeight="1" thickBot="1">
      <c r="B30" s="46"/>
      <c r="C30" s="40"/>
      <c r="D30" s="40"/>
      <c r="E30" s="40"/>
      <c r="F30" s="40"/>
      <c r="G30" s="40"/>
      <c r="H30" s="26"/>
      <c r="I30" s="11"/>
      <c r="K30" s="336" t="s">
        <v>72</v>
      </c>
      <c r="L30" s="346"/>
      <c r="M30" s="52"/>
      <c r="N30" s="328"/>
      <c r="P30" s="42"/>
      <c r="Q30" s="41"/>
      <c r="R30" s="101"/>
      <c r="S30" s="37"/>
      <c r="T30" s="38" t="s">
        <v>73</v>
      </c>
      <c r="U30" s="17"/>
      <c r="V30" s="59"/>
    </row>
    <row r="31" spans="2:23" ht="12" customHeight="1" thickBot="1">
      <c r="B31" s="44" t="s">
        <v>224</v>
      </c>
      <c r="C31" s="35"/>
      <c r="D31" s="53"/>
      <c r="E31" s="36" t="s">
        <v>74</v>
      </c>
      <c r="F31" s="35"/>
      <c r="G31" s="35"/>
      <c r="H31" s="37"/>
      <c r="I31" s="11"/>
      <c r="K31" s="342" t="s">
        <v>75</v>
      </c>
      <c r="L31" s="343"/>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44" t="s">
        <v>226</v>
      </c>
      <c r="L33" s="345"/>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9"/>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9"/>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9"/>
      <c r="P37" s="11"/>
      <c r="Q37" s="36" t="s">
        <v>247</v>
      </c>
      <c r="R37" s="329"/>
      <c r="T37" s="38"/>
      <c r="U37" s="41"/>
      <c r="V37" s="98"/>
      <c r="W37" s="12"/>
    </row>
    <row r="38" spans="2:28" ht="12" customHeight="1" thickBot="1">
      <c r="B38" s="46"/>
      <c r="C38" s="40"/>
      <c r="D38" s="48"/>
      <c r="E38" s="41"/>
      <c r="F38" s="40"/>
      <c r="G38" s="40"/>
      <c r="H38" s="98"/>
      <c r="I38" s="11"/>
      <c r="K38" s="11"/>
      <c r="L38" s="13"/>
      <c r="M38" s="52" t="s">
        <v>92</v>
      </c>
      <c r="N38" s="329"/>
      <c r="P38" s="42"/>
      <c r="Q38" s="41" t="s">
        <v>93</v>
      </c>
      <c r="R38" s="329"/>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9"/>
      <c r="P41" s="45" t="s">
        <v>98</v>
      </c>
      <c r="Q41" s="36" t="s">
        <v>99</v>
      </c>
      <c r="R41" s="37"/>
      <c r="S41" s="37"/>
      <c r="T41" s="45" t="s">
        <v>100</v>
      </c>
      <c r="U41" s="17" t="s">
        <v>101</v>
      </c>
      <c r="V41" s="340"/>
      <c r="W41" s="12"/>
    </row>
    <row r="42" spans="2:28" ht="12" customHeight="1" thickBot="1">
      <c r="B42" s="46"/>
      <c r="C42" s="40"/>
      <c r="D42" s="48"/>
      <c r="E42" s="41"/>
      <c r="F42" s="12"/>
      <c r="G42" s="12"/>
      <c r="H42" s="98"/>
      <c r="I42" s="11"/>
      <c r="K42" s="11"/>
      <c r="L42" s="13"/>
      <c r="M42" s="41" t="s">
        <v>102</v>
      </c>
      <c r="N42" s="328"/>
      <c r="P42" s="42"/>
      <c r="Q42" s="41"/>
      <c r="R42" s="98"/>
      <c r="S42" s="37"/>
      <c r="T42" s="38" t="s">
        <v>103</v>
      </c>
      <c r="U42" s="17" t="s">
        <v>104</v>
      </c>
      <c r="V42" s="341"/>
      <c r="W42" s="12"/>
    </row>
    <row r="43" spans="2:28" ht="12" customHeight="1" thickTop="1">
      <c r="B43" s="44" t="s">
        <v>248</v>
      </c>
      <c r="C43" s="35"/>
      <c r="D43" s="35"/>
      <c r="E43" s="36" t="s">
        <v>105</v>
      </c>
      <c r="F43" s="35"/>
      <c r="G43" s="54"/>
      <c r="H43" s="329"/>
      <c r="K43" s="11"/>
      <c r="L43" s="13"/>
      <c r="M43" s="17" t="s">
        <v>234</v>
      </c>
      <c r="N43" s="327"/>
      <c r="P43" s="62" t="s">
        <v>106</v>
      </c>
      <c r="Q43" s="35"/>
      <c r="R43" s="12"/>
      <c r="S43" s="63"/>
      <c r="T43" s="38"/>
      <c r="U43" s="36" t="s">
        <v>107</v>
      </c>
      <c r="V43" s="329"/>
    </row>
    <row r="44" spans="2:28" ht="12" customHeight="1" thickBot="1">
      <c r="B44" s="11" t="s">
        <v>108</v>
      </c>
      <c r="C44" s="12"/>
      <c r="D44" s="12"/>
      <c r="E44" s="17"/>
      <c r="F44" s="12"/>
      <c r="G44" s="64"/>
      <c r="H44" s="329"/>
      <c r="K44" s="11"/>
      <c r="L44" s="13"/>
      <c r="M44" s="41"/>
      <c r="N44" s="328"/>
      <c r="P44" s="46"/>
      <c r="Q44" s="40"/>
      <c r="R44" s="26"/>
      <c r="S44" s="37"/>
      <c r="T44" s="42"/>
      <c r="U44" s="41"/>
      <c r="V44" s="329"/>
    </row>
    <row r="45" spans="2:28" ht="12" customHeight="1" thickTop="1" thickBot="1">
      <c r="B45" s="46" t="s">
        <v>249</v>
      </c>
      <c r="C45" s="40"/>
      <c r="D45" s="40"/>
      <c r="E45" s="41"/>
      <c r="F45" s="40"/>
      <c r="G45" s="55"/>
      <c r="H45" s="329"/>
      <c r="K45" s="60" t="s">
        <v>109</v>
      </c>
      <c r="L45" s="61"/>
      <c r="M45" s="12"/>
      <c r="N45" s="18"/>
      <c r="P45" s="38" t="s">
        <v>110</v>
      </c>
      <c r="Q45" s="17" t="s">
        <v>250</v>
      </c>
      <c r="R45" s="37"/>
      <c r="S45" s="37"/>
      <c r="T45" s="38" t="s">
        <v>111</v>
      </c>
      <c r="U45" s="17" t="s">
        <v>112</v>
      </c>
      <c r="V45" s="340"/>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41"/>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9"/>
      <c r="K48" s="11"/>
      <c r="L48" s="13"/>
      <c r="M48" s="41"/>
      <c r="N48" s="98"/>
      <c r="O48" s="37"/>
      <c r="P48" s="38"/>
      <c r="Q48" s="41"/>
      <c r="R48" s="98"/>
      <c r="S48" s="37"/>
      <c r="T48" s="42"/>
      <c r="U48" s="41"/>
      <c r="V48" s="98"/>
      <c r="W48" s="12"/>
    </row>
    <row r="49" spans="2:23" ht="12" customHeight="1" thickBot="1">
      <c r="B49" s="46"/>
      <c r="C49" s="40"/>
      <c r="D49" s="40"/>
      <c r="E49" s="41"/>
      <c r="F49" s="40"/>
      <c r="G49" s="55"/>
      <c r="H49" s="328"/>
      <c r="K49" s="11"/>
      <c r="L49" s="13"/>
      <c r="M49" s="65" t="s">
        <v>119</v>
      </c>
      <c r="N49" s="329"/>
      <c r="P49" s="38"/>
      <c r="Q49" s="36" t="s">
        <v>120</v>
      </c>
      <c r="R49" s="102"/>
      <c r="S49" s="37"/>
      <c r="T49" s="38" t="s">
        <v>121</v>
      </c>
      <c r="U49" s="36" t="s">
        <v>122</v>
      </c>
      <c r="V49" s="329"/>
    </row>
    <row r="50" spans="2:23" ht="12" customHeight="1" thickTop="1" thickBot="1">
      <c r="B50" s="44" t="s">
        <v>237</v>
      </c>
      <c r="C50" s="35"/>
      <c r="D50" s="35"/>
      <c r="E50" s="36" t="s">
        <v>66</v>
      </c>
      <c r="F50" s="12"/>
      <c r="G50" s="12"/>
      <c r="H50" s="327"/>
      <c r="K50" s="11"/>
      <c r="L50" s="13"/>
      <c r="M50" s="66" t="s">
        <v>104</v>
      </c>
      <c r="N50" s="328"/>
      <c r="P50" s="38"/>
      <c r="Q50" s="41"/>
      <c r="R50" s="98"/>
      <c r="S50" s="37"/>
      <c r="T50" s="38"/>
      <c r="U50" s="41"/>
      <c r="V50" s="328"/>
    </row>
    <row r="51" spans="2:23" ht="12" customHeight="1" thickTop="1">
      <c r="B51" s="11" t="s">
        <v>123</v>
      </c>
      <c r="C51" s="12"/>
      <c r="D51" s="12"/>
      <c r="E51" s="17"/>
      <c r="F51" s="12"/>
      <c r="G51" s="12"/>
      <c r="H51" s="329"/>
      <c r="K51" s="49" t="s">
        <v>251</v>
      </c>
      <c r="L51" s="50"/>
      <c r="M51" s="36" t="s">
        <v>115</v>
      </c>
      <c r="N51" s="327"/>
      <c r="P51" s="38"/>
      <c r="Q51" s="17" t="s">
        <v>124</v>
      </c>
      <c r="R51" s="329"/>
      <c r="T51" s="38"/>
      <c r="U51" s="17" t="s">
        <v>125</v>
      </c>
      <c r="V51" s="327"/>
    </row>
    <row r="52" spans="2:23" ht="12" customHeight="1" thickBot="1">
      <c r="B52" s="46" t="s">
        <v>238</v>
      </c>
      <c r="C52" s="40"/>
      <c r="D52" s="40"/>
      <c r="E52" s="41"/>
      <c r="F52" s="12"/>
      <c r="G52" s="12"/>
      <c r="H52" s="328"/>
      <c r="K52" s="11"/>
      <c r="L52" s="13"/>
      <c r="M52" s="41"/>
      <c r="N52" s="328"/>
      <c r="P52" s="42"/>
      <c r="Q52" s="41" t="s">
        <v>126</v>
      </c>
      <c r="R52" s="329"/>
      <c r="T52" s="42"/>
      <c r="U52" s="41" t="s">
        <v>104</v>
      </c>
      <c r="V52" s="328"/>
    </row>
    <row r="53" spans="2:23" ht="12" customHeight="1" thickTop="1">
      <c r="B53" s="44" t="s">
        <v>127</v>
      </c>
      <c r="C53" s="35"/>
      <c r="D53" s="35"/>
      <c r="E53" s="36" t="s">
        <v>128</v>
      </c>
      <c r="F53" s="35"/>
      <c r="G53" s="54"/>
      <c r="H53" s="327"/>
      <c r="K53" s="11"/>
      <c r="L53" s="13"/>
      <c r="M53" s="36" t="s">
        <v>129</v>
      </c>
      <c r="N53" s="327"/>
      <c r="P53" s="38" t="s">
        <v>130</v>
      </c>
      <c r="Q53" s="17" t="s">
        <v>22</v>
      </c>
      <c r="R53" s="102"/>
      <c r="S53" s="37"/>
      <c r="T53" s="38" t="s">
        <v>131</v>
      </c>
      <c r="U53" s="17" t="s">
        <v>132</v>
      </c>
      <c r="V53" s="327"/>
    </row>
    <row r="54" spans="2:23" ht="12" customHeight="1" thickBot="1">
      <c r="B54" s="11"/>
      <c r="C54" s="12"/>
      <c r="D54" s="12"/>
      <c r="E54" s="41"/>
      <c r="F54" s="40"/>
      <c r="G54" s="55"/>
      <c r="H54" s="328"/>
      <c r="K54" s="46"/>
      <c r="L54" s="48"/>
      <c r="M54" s="41" t="s">
        <v>104</v>
      </c>
      <c r="N54" s="329"/>
      <c r="P54" s="42"/>
      <c r="Q54" s="41"/>
      <c r="R54" s="98"/>
      <c r="S54" s="37"/>
      <c r="T54" s="38"/>
      <c r="U54" s="17" t="s">
        <v>133</v>
      </c>
      <c r="V54" s="328"/>
    </row>
    <row r="55" spans="2:23" ht="12" customHeight="1" thickTop="1">
      <c r="B55" s="11"/>
      <c r="C55" s="12"/>
      <c r="D55" s="12"/>
      <c r="E55" s="36" t="s">
        <v>66</v>
      </c>
      <c r="F55" s="12"/>
      <c r="G55" s="12"/>
      <c r="H55" s="327"/>
      <c r="K55" s="33" t="s">
        <v>239</v>
      </c>
      <c r="L55" s="34"/>
      <c r="M55" s="51" t="s">
        <v>134</v>
      </c>
      <c r="N55" s="102"/>
      <c r="O55" s="37"/>
      <c r="P55" s="45" t="s">
        <v>135</v>
      </c>
      <c r="Q55" s="36" t="s">
        <v>136</v>
      </c>
      <c r="R55" s="37"/>
      <c r="S55" s="37"/>
      <c r="T55" s="45" t="s">
        <v>137</v>
      </c>
      <c r="U55" s="36" t="s">
        <v>66</v>
      </c>
      <c r="V55" s="327"/>
    </row>
    <row r="56" spans="2:23" ht="12" customHeight="1" thickBot="1">
      <c r="B56" s="46"/>
      <c r="C56" s="40"/>
      <c r="D56" s="40"/>
      <c r="E56" s="41"/>
      <c r="F56" s="12"/>
      <c r="G56" s="12"/>
      <c r="H56" s="328"/>
      <c r="K56" s="11"/>
      <c r="L56" s="12"/>
      <c r="M56" s="41"/>
      <c r="N56" s="98"/>
      <c r="O56" s="37"/>
      <c r="P56" s="42"/>
      <c r="Q56" s="41"/>
      <c r="R56" s="98"/>
      <c r="S56" s="37"/>
      <c r="T56" s="42"/>
      <c r="U56" s="41"/>
      <c r="V56" s="329"/>
    </row>
    <row r="57" spans="2:23" ht="12" customHeight="1" thickTop="1">
      <c r="B57" s="45" t="s">
        <v>240</v>
      </c>
      <c r="C57" s="35"/>
      <c r="D57" s="35"/>
      <c r="E57" s="36" t="s">
        <v>138</v>
      </c>
      <c r="F57" s="35"/>
      <c r="G57" s="54"/>
      <c r="H57" s="327"/>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8"/>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9"/>
      <c r="T59" s="45"/>
      <c r="U59" s="51"/>
      <c r="V59" s="68"/>
    </row>
    <row r="60" spans="2:23" ht="12" customHeight="1" thickBot="1">
      <c r="B60" s="21"/>
      <c r="C60" s="22"/>
      <c r="D60" s="22"/>
      <c r="E60" s="22"/>
      <c r="F60" s="22"/>
      <c r="G60" s="22"/>
      <c r="H60" s="26"/>
      <c r="K60" s="21"/>
      <c r="L60" s="22"/>
      <c r="M60" s="25" t="s">
        <v>241</v>
      </c>
      <c r="N60" s="98"/>
      <c r="O60" s="37"/>
      <c r="P60" s="56"/>
      <c r="Q60" s="57"/>
      <c r="R60" s="328"/>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30" t="s">
        <v>146</v>
      </c>
      <c r="D64" s="331"/>
      <c r="E64" s="331"/>
      <c r="F64" s="332"/>
      <c r="I64" s="333" t="s">
        <v>147</v>
      </c>
      <c r="J64" s="334"/>
      <c r="K64" s="334"/>
      <c r="L64" s="335"/>
      <c r="M64" s="2" t="s">
        <v>164</v>
      </c>
      <c r="N64" s="3"/>
      <c r="O64" s="3"/>
      <c r="P64" s="3"/>
      <c r="Q64" s="3"/>
      <c r="R64" s="3"/>
      <c r="S64" s="3"/>
      <c r="T64" s="339" t="s">
        <v>148</v>
      </c>
      <c r="U64" s="320" t="s">
        <v>165</v>
      </c>
    </row>
    <row r="65" spans="3:21" ht="6.95" customHeight="1">
      <c r="C65" s="298" t="s">
        <v>149</v>
      </c>
      <c r="D65" s="298" t="s">
        <v>252</v>
      </c>
      <c r="E65" s="298" t="s">
        <v>150</v>
      </c>
      <c r="F65" s="298" t="s">
        <v>253</v>
      </c>
      <c r="I65" s="336"/>
      <c r="J65" s="337"/>
      <c r="K65" s="337"/>
      <c r="L65" s="338"/>
      <c r="M65" s="11"/>
      <c r="N65" s="12"/>
      <c r="O65" s="12"/>
      <c r="P65" s="12"/>
      <c r="Q65" s="12"/>
      <c r="R65" s="12"/>
      <c r="S65" s="12"/>
      <c r="T65" s="317"/>
      <c r="U65" s="321"/>
    </row>
    <row r="66" spans="3:21" ht="6.95" customHeight="1">
      <c r="C66" s="298"/>
      <c r="D66" s="298"/>
      <c r="E66" s="298"/>
      <c r="F66" s="298"/>
      <c r="I66" s="322" t="s">
        <v>151</v>
      </c>
      <c r="J66" s="323"/>
      <c r="K66" s="323"/>
      <c r="L66" s="324"/>
      <c r="M66" s="307" t="e">
        <f>VLOOKUP(X2,#REF!,12,0)</f>
        <v>#REF!</v>
      </c>
      <c r="N66" s="308"/>
      <c r="O66" s="308"/>
      <c r="P66" s="308"/>
      <c r="Q66" s="308"/>
      <c r="R66" s="12"/>
      <c r="S66" s="12"/>
      <c r="T66" s="294" t="s">
        <v>152</v>
      </c>
      <c r="U66" s="318"/>
    </row>
    <row r="67" spans="3:21" ht="14.1" customHeight="1">
      <c r="C67" s="72" t="s">
        <v>153</v>
      </c>
      <c r="D67" s="72" t="s">
        <v>254</v>
      </c>
      <c r="E67" s="72" t="s">
        <v>154</v>
      </c>
      <c r="F67" s="72" t="s">
        <v>255</v>
      </c>
      <c r="I67" s="313"/>
      <c r="J67" s="325"/>
      <c r="K67" s="325"/>
      <c r="L67" s="326"/>
      <c r="M67" s="307"/>
      <c r="N67" s="308"/>
      <c r="O67" s="308"/>
      <c r="P67" s="308"/>
      <c r="Q67" s="308"/>
      <c r="R67" s="12"/>
      <c r="S67" s="12"/>
      <c r="T67" s="317"/>
      <c r="U67" s="319"/>
    </row>
    <row r="68" spans="3:21" ht="14.1" customHeight="1">
      <c r="C68" s="72" t="s">
        <v>155</v>
      </c>
      <c r="D68" s="72" t="s">
        <v>256</v>
      </c>
      <c r="E68" s="72" t="s">
        <v>156</v>
      </c>
      <c r="F68" s="72" t="s">
        <v>257</v>
      </c>
      <c r="I68" s="299" t="s">
        <v>258</v>
      </c>
      <c r="J68" s="300"/>
      <c r="K68" s="303" t="s">
        <v>259</v>
      </c>
      <c r="L68" s="304"/>
      <c r="M68" s="307" t="e">
        <f>VLOOKUP(X2,#REF!,11,0)</f>
        <v>#REF!</v>
      </c>
      <c r="N68" s="308"/>
      <c r="O68" s="308"/>
      <c r="P68" s="311" t="e">
        <f>VLOOKUP(X2,#REF!,13,0)</f>
        <v>#REF!</v>
      </c>
      <c r="Q68" s="311"/>
      <c r="R68" s="12"/>
      <c r="S68" s="12"/>
      <c r="T68" s="294" t="s">
        <v>157</v>
      </c>
      <c r="U68" s="318"/>
    </row>
    <row r="69" spans="3:21" ht="6.95" customHeight="1">
      <c r="C69" s="298" t="s">
        <v>158</v>
      </c>
      <c r="D69" s="298" t="s">
        <v>242</v>
      </c>
      <c r="E69" s="298" t="s">
        <v>159</v>
      </c>
      <c r="F69" s="298" t="s">
        <v>260</v>
      </c>
      <c r="I69" s="313"/>
      <c r="J69" s="314"/>
      <c r="K69" s="315"/>
      <c r="L69" s="316"/>
      <c r="M69" s="307"/>
      <c r="N69" s="308"/>
      <c r="O69" s="308"/>
      <c r="P69" s="311"/>
      <c r="Q69" s="311"/>
      <c r="R69" s="12"/>
      <c r="S69" s="12"/>
      <c r="T69" s="317"/>
      <c r="U69" s="319"/>
    </row>
    <row r="70" spans="3:21" ht="6.95" customHeight="1">
      <c r="C70" s="298"/>
      <c r="D70" s="298"/>
      <c r="E70" s="298"/>
      <c r="F70" s="298"/>
      <c r="I70" s="299" t="s">
        <v>261</v>
      </c>
      <c r="J70" s="300"/>
      <c r="K70" s="303" t="s">
        <v>262</v>
      </c>
      <c r="L70" s="304"/>
      <c r="M70" s="307"/>
      <c r="N70" s="308"/>
      <c r="O70" s="308"/>
      <c r="P70" s="311"/>
      <c r="Q70" s="311"/>
      <c r="R70" s="12"/>
      <c r="S70" s="12"/>
      <c r="T70" s="294" t="s">
        <v>160</v>
      </c>
      <c r="U70" s="296"/>
    </row>
    <row r="71" spans="3:21" ht="14.1" customHeight="1" thickBot="1">
      <c r="C71" s="72" t="s">
        <v>161</v>
      </c>
      <c r="D71" s="73"/>
      <c r="E71" s="72"/>
      <c r="F71" s="72"/>
      <c r="I71" s="301"/>
      <c r="J71" s="302"/>
      <c r="K71" s="305"/>
      <c r="L71" s="306"/>
      <c r="M71" s="309"/>
      <c r="N71" s="310"/>
      <c r="O71" s="310"/>
      <c r="P71" s="312"/>
      <c r="Q71" s="312"/>
      <c r="R71" s="22"/>
      <c r="S71" s="22"/>
      <c r="T71" s="295"/>
      <c r="U71" s="297"/>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86" t="s">
        <v>284</v>
      </c>
      <c r="S1" s="334"/>
      <c r="T1" s="5"/>
      <c r="U1" s="6"/>
      <c r="V1" s="7" t="s">
        <v>263</v>
      </c>
      <c r="W1" s="29" t="s">
        <v>268</v>
      </c>
      <c r="X1" s="80"/>
      <c r="Z1" s="85" t="s">
        <v>286</v>
      </c>
    </row>
    <row r="2" spans="1:26" ht="27.95" customHeight="1" thickBot="1">
      <c r="A2" s="8" t="s">
        <v>2</v>
      </c>
      <c r="J2" s="9"/>
      <c r="K2" s="10"/>
      <c r="L2" s="1" t="s">
        <v>3</v>
      </c>
      <c r="N2" s="347" t="e">
        <f>VLOOKUP(Z2,#REF!,11,0)</f>
        <v>#REF!</v>
      </c>
      <c r="O2" s="348"/>
      <c r="P2" s="348"/>
      <c r="Q2" s="349"/>
      <c r="R2" s="387" t="e">
        <f>VLOOKUP(Z2,#REF!,4,0)</f>
        <v>#REF!</v>
      </c>
      <c r="S2" s="388"/>
      <c r="T2" s="14"/>
      <c r="U2" s="15"/>
      <c r="V2" s="81" t="e">
        <f>VLOOKUP(Z2,#REF!,5,0)</f>
        <v>#REF!</v>
      </c>
      <c r="W2" s="82" t="e">
        <f>VLOOKUP(Z2,#REF!,7,0)</f>
        <v>#REF!</v>
      </c>
      <c r="X2" s="18"/>
      <c r="Z2" s="86">
        <v>9756</v>
      </c>
    </row>
    <row r="3" spans="1:26" ht="14.1" customHeight="1" thickBot="1">
      <c r="N3" s="11" t="s">
        <v>4</v>
      </c>
      <c r="O3" s="12"/>
      <c r="P3" s="12"/>
      <c r="Q3" s="13"/>
      <c r="R3" s="389" t="s">
        <v>285</v>
      </c>
      <c r="S3" s="390"/>
      <c r="T3" s="14"/>
      <c r="U3" s="15"/>
      <c r="V3" s="16" t="s">
        <v>264</v>
      </c>
      <c r="W3" s="83" t="s">
        <v>265</v>
      </c>
      <c r="X3" s="84"/>
    </row>
    <row r="4" spans="1:26" ht="27.95" customHeight="1" thickTop="1" thickBot="1">
      <c r="D4" s="74">
        <v>3</v>
      </c>
      <c r="E4" s="8" t="s">
        <v>5</v>
      </c>
      <c r="F4" s="8"/>
      <c r="G4" s="8"/>
      <c r="H4" s="19"/>
      <c r="I4" s="20" t="s">
        <v>206</v>
      </c>
      <c r="J4" s="9"/>
      <c r="K4" s="10"/>
      <c r="L4" s="1" t="s">
        <v>6</v>
      </c>
      <c r="N4" s="350" t="e">
        <f>VLOOKUP(Z2,#REF!,12,0)</f>
        <v>#REF!</v>
      </c>
      <c r="O4" s="351"/>
      <c r="P4" s="351"/>
      <c r="Q4" s="352"/>
      <c r="R4" s="391" t="e">
        <f>VLOOKUP(Z2,#REF!,9,0)</f>
        <v>#REF!</v>
      </c>
      <c r="S4" s="351"/>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33" t="s">
        <v>8</v>
      </c>
      <c r="L6" s="353"/>
      <c r="M6" s="361" t="s">
        <v>9</v>
      </c>
      <c r="N6" s="362"/>
      <c r="O6" s="115"/>
      <c r="Q6" s="28" t="s">
        <v>8</v>
      </c>
      <c r="R6" s="392" t="s">
        <v>9</v>
      </c>
      <c r="S6" s="393"/>
      <c r="T6" s="30"/>
      <c r="V6" s="28" t="s">
        <v>8</v>
      </c>
      <c r="W6" s="7" t="s">
        <v>9</v>
      </c>
      <c r="X6" s="30"/>
    </row>
    <row r="7" spans="1:26" ht="12" customHeight="1" thickTop="1">
      <c r="B7" s="31" t="s">
        <v>69</v>
      </c>
      <c r="C7" s="32"/>
      <c r="D7" s="32"/>
      <c r="E7" s="12"/>
      <c r="F7" s="12"/>
      <c r="G7" s="12"/>
      <c r="H7" s="99"/>
      <c r="K7" s="342" t="s">
        <v>75</v>
      </c>
      <c r="L7" s="343"/>
      <c r="M7" s="61"/>
      <c r="N7" s="35"/>
      <c r="O7" s="99"/>
      <c r="P7" s="37"/>
      <c r="Q7" s="38"/>
      <c r="R7" s="363" t="s">
        <v>463</v>
      </c>
      <c r="S7" s="394"/>
      <c r="T7" s="327"/>
      <c r="V7" s="39"/>
      <c r="W7" s="17"/>
      <c r="X7" s="99"/>
    </row>
    <row r="8" spans="1:26" ht="12" customHeight="1" thickBot="1">
      <c r="B8" s="46"/>
      <c r="C8" s="40"/>
      <c r="D8" s="40"/>
      <c r="E8" s="40"/>
      <c r="F8" s="40"/>
      <c r="G8" s="40"/>
      <c r="H8" s="26"/>
      <c r="K8" s="46"/>
      <c r="L8" s="40"/>
      <c r="M8" s="40"/>
      <c r="N8" s="40"/>
      <c r="O8" s="18"/>
      <c r="P8" s="37"/>
      <c r="Q8" s="42"/>
      <c r="R8" s="357" t="s">
        <v>464</v>
      </c>
      <c r="S8" s="358"/>
      <c r="T8" s="329"/>
      <c r="V8" s="11"/>
      <c r="W8" s="12"/>
      <c r="X8" s="18"/>
    </row>
    <row r="9" spans="1:26" ht="12" customHeight="1" thickTop="1">
      <c r="B9" s="44" t="s">
        <v>224</v>
      </c>
      <c r="C9" s="32"/>
      <c r="D9" s="32"/>
      <c r="E9" s="36" t="s">
        <v>81</v>
      </c>
      <c r="F9" s="12"/>
      <c r="G9" s="12"/>
      <c r="H9" s="359"/>
      <c r="K9" s="11" t="s">
        <v>430</v>
      </c>
      <c r="L9" s="13"/>
      <c r="M9" s="363" t="s">
        <v>431</v>
      </c>
      <c r="N9" s="364"/>
      <c r="O9" s="327"/>
      <c r="P9" s="37"/>
      <c r="Q9" s="38"/>
      <c r="R9" s="357" t="s">
        <v>465</v>
      </c>
      <c r="S9" s="358"/>
      <c r="T9" s="327"/>
      <c r="U9" s="37"/>
      <c r="V9" s="45"/>
      <c r="W9" s="36"/>
      <c r="X9" s="327"/>
    </row>
    <row r="10" spans="1:26" ht="12" customHeight="1" thickBot="1">
      <c r="B10" s="11"/>
      <c r="C10" s="12"/>
      <c r="D10" s="12"/>
      <c r="E10" s="41"/>
      <c r="F10" s="12"/>
      <c r="G10" s="12"/>
      <c r="H10" s="360"/>
      <c r="K10" s="11"/>
      <c r="L10" s="13"/>
      <c r="M10" s="365"/>
      <c r="N10" s="324"/>
      <c r="O10" s="328"/>
      <c r="P10" s="37"/>
      <c r="Q10" s="38"/>
      <c r="R10" s="365"/>
      <c r="S10" s="401"/>
      <c r="T10" s="329"/>
      <c r="U10" s="37"/>
      <c r="V10" s="38"/>
      <c r="W10" s="47"/>
      <c r="X10" s="328"/>
    </row>
    <row r="11" spans="1:26" ht="12" customHeight="1" thickTop="1">
      <c r="B11" s="44" t="s">
        <v>87</v>
      </c>
      <c r="C11" s="35"/>
      <c r="D11" s="53"/>
      <c r="E11" s="36" t="s">
        <v>88</v>
      </c>
      <c r="F11" s="35"/>
      <c r="G11" s="35"/>
      <c r="H11" s="37"/>
      <c r="K11" s="11"/>
      <c r="L11" s="13"/>
      <c r="M11" s="357" t="s">
        <v>432</v>
      </c>
      <c r="N11" s="358"/>
      <c r="O11" s="395"/>
      <c r="Q11" s="38"/>
      <c r="R11" s="357" t="s">
        <v>466</v>
      </c>
      <c r="S11" s="358"/>
      <c r="T11" s="327"/>
      <c r="U11" s="37"/>
      <c r="V11" s="38"/>
      <c r="W11" s="17"/>
      <c r="X11" s="327"/>
    </row>
    <row r="12" spans="1:26" ht="12" customHeight="1" thickBot="1">
      <c r="B12" s="11"/>
      <c r="C12" s="12"/>
      <c r="D12" s="13"/>
      <c r="E12" s="41"/>
      <c r="F12" s="40"/>
      <c r="G12" s="40"/>
      <c r="H12" s="98"/>
      <c r="K12" s="46"/>
      <c r="L12" s="48"/>
      <c r="M12" s="366"/>
      <c r="N12" s="367"/>
      <c r="O12" s="328"/>
      <c r="Q12" s="42"/>
      <c r="R12" s="355" t="s">
        <v>412</v>
      </c>
      <c r="S12" s="356"/>
      <c r="T12" s="329"/>
      <c r="U12" s="37"/>
      <c r="V12" s="42"/>
      <c r="W12" s="41"/>
      <c r="X12" s="328"/>
    </row>
    <row r="13" spans="1:26" ht="12" customHeight="1" thickTop="1">
      <c r="B13" s="11"/>
      <c r="C13" s="12"/>
      <c r="D13" s="13"/>
      <c r="E13" s="36" t="s">
        <v>81</v>
      </c>
      <c r="F13" s="35"/>
      <c r="G13" s="35"/>
      <c r="H13" s="37"/>
      <c r="K13" s="336" t="s">
        <v>226</v>
      </c>
      <c r="L13" s="346"/>
      <c r="M13" s="398" t="s">
        <v>434</v>
      </c>
      <c r="N13" s="125" t="s">
        <v>435</v>
      </c>
      <c r="O13" s="327"/>
      <c r="Q13" s="38" t="s">
        <v>209</v>
      </c>
      <c r="R13" s="363" t="s">
        <v>17</v>
      </c>
      <c r="S13" s="364"/>
      <c r="T13" s="102"/>
      <c r="U13" s="37"/>
      <c r="V13" s="38"/>
      <c r="W13" s="17"/>
      <c r="X13" s="327"/>
    </row>
    <row r="14" spans="1:26" ht="12" customHeight="1" thickBot="1">
      <c r="B14" s="11"/>
      <c r="C14" s="12"/>
      <c r="D14" s="13"/>
      <c r="E14" s="41"/>
      <c r="F14" s="40"/>
      <c r="G14" s="40"/>
      <c r="H14" s="98"/>
      <c r="K14" s="11"/>
      <c r="L14" s="13"/>
      <c r="M14" s="399"/>
      <c r="N14" s="47"/>
      <c r="O14" s="354"/>
      <c r="Q14" s="42"/>
      <c r="R14" s="40"/>
      <c r="S14" s="40"/>
      <c r="T14" s="98"/>
      <c r="U14" s="37"/>
      <c r="V14" s="38"/>
      <c r="W14" s="17"/>
      <c r="X14" s="328"/>
    </row>
    <row r="15" spans="1:26" ht="12" customHeight="1" thickTop="1">
      <c r="B15" s="11"/>
      <c r="C15" s="12"/>
      <c r="D15" s="13"/>
      <c r="E15" s="36" t="s">
        <v>406</v>
      </c>
      <c r="F15" s="35"/>
      <c r="G15" s="35"/>
      <c r="H15" s="327"/>
      <c r="I15" s="11"/>
      <c r="K15" s="336"/>
      <c r="L15" s="346"/>
      <c r="M15" s="399"/>
      <c r="N15" s="126" t="s">
        <v>436</v>
      </c>
      <c r="O15" s="327"/>
      <c r="P15" s="37"/>
      <c r="Q15" s="62" t="s">
        <v>467</v>
      </c>
      <c r="R15" s="136"/>
      <c r="S15" s="35"/>
      <c r="T15" s="18"/>
      <c r="U15" s="37"/>
      <c r="V15" s="38"/>
      <c r="W15" s="36"/>
      <c r="X15" s="327"/>
    </row>
    <row r="16" spans="1:26" ht="12" customHeight="1" thickBot="1">
      <c r="B16" s="11"/>
      <c r="C16" s="12"/>
      <c r="D16" s="13"/>
      <c r="E16" s="41"/>
      <c r="F16" s="40"/>
      <c r="G16" s="40"/>
      <c r="H16" s="329"/>
      <c r="I16" s="11"/>
      <c r="K16" s="336"/>
      <c r="L16" s="346"/>
      <c r="M16" s="399"/>
      <c r="N16" s="124"/>
      <c r="O16" s="354"/>
      <c r="P16" s="37"/>
      <c r="Q16" s="46"/>
      <c r="R16" s="41"/>
      <c r="S16" s="40"/>
      <c r="T16" s="26"/>
      <c r="U16" s="37"/>
      <c r="V16" s="38"/>
      <c r="W16" s="17"/>
      <c r="X16" s="328"/>
    </row>
    <row r="17" spans="2:25" ht="12" customHeight="1" thickTop="1">
      <c r="B17" s="11"/>
      <c r="C17" s="12"/>
      <c r="D17" s="13"/>
      <c r="E17" s="12" t="s">
        <v>407</v>
      </c>
      <c r="F17" s="12"/>
      <c r="G17" s="12"/>
      <c r="H17" s="327"/>
      <c r="K17" s="11"/>
      <c r="L17" s="13"/>
      <c r="M17" s="399"/>
      <c r="N17" s="126" t="s">
        <v>437</v>
      </c>
      <c r="O17" s="327"/>
      <c r="P17" s="37"/>
      <c r="Q17" s="11"/>
      <c r="R17" s="363" t="s">
        <v>134</v>
      </c>
      <c r="S17" s="364"/>
      <c r="T17" s="37"/>
      <c r="U17" s="37"/>
      <c r="V17" s="38"/>
      <c r="W17" s="36"/>
      <c r="X17" s="327"/>
    </row>
    <row r="18" spans="2:25" ht="12" customHeight="1" thickBot="1">
      <c r="B18" s="11"/>
      <c r="C18" s="12"/>
      <c r="D18" s="13"/>
      <c r="E18" s="17" t="s">
        <v>408</v>
      </c>
      <c r="F18" s="12"/>
      <c r="G18" s="12"/>
      <c r="H18" s="329"/>
      <c r="K18" s="11"/>
      <c r="L18" s="13"/>
      <c r="M18" s="399"/>
      <c r="N18" s="124"/>
      <c r="O18" s="354"/>
      <c r="P18" s="37"/>
      <c r="Q18" s="11"/>
      <c r="R18" s="17"/>
      <c r="S18" s="12"/>
      <c r="T18" s="98"/>
      <c r="U18" s="37"/>
      <c r="V18" s="38"/>
      <c r="W18" s="41"/>
      <c r="X18" s="328"/>
    </row>
    <row r="19" spans="2:25" ht="12" customHeight="1" thickTop="1">
      <c r="B19" s="44" t="s">
        <v>94</v>
      </c>
      <c r="C19" s="35"/>
      <c r="D19" s="53"/>
      <c r="E19" s="36" t="s">
        <v>95</v>
      </c>
      <c r="F19" s="35"/>
      <c r="G19" s="35"/>
      <c r="H19" s="102"/>
      <c r="I19" s="11"/>
      <c r="K19" s="11"/>
      <c r="L19" s="13"/>
      <c r="M19" s="399"/>
      <c r="N19" s="43" t="s">
        <v>438</v>
      </c>
      <c r="O19" s="327"/>
      <c r="Q19" s="11"/>
      <c r="R19" s="363" t="s">
        <v>468</v>
      </c>
      <c r="S19" s="364"/>
      <c r="T19" s="37"/>
      <c r="U19" s="37"/>
      <c r="V19" s="45"/>
      <c r="W19" s="36"/>
      <c r="X19" s="327"/>
    </row>
    <row r="20" spans="2:25" ht="12" customHeight="1" thickBot="1">
      <c r="B20" s="46"/>
      <c r="C20" s="40"/>
      <c r="D20" s="48"/>
      <c r="E20" s="41"/>
      <c r="F20" s="40"/>
      <c r="G20" s="40"/>
      <c r="H20" s="98"/>
      <c r="I20" s="11"/>
      <c r="K20" s="11"/>
      <c r="L20" s="13"/>
      <c r="M20" s="399"/>
      <c r="N20" s="47"/>
      <c r="O20" s="354"/>
      <c r="Q20" s="11"/>
      <c r="R20" s="17"/>
      <c r="S20" s="12"/>
      <c r="T20" s="98"/>
      <c r="U20" s="37"/>
      <c r="V20" s="38"/>
      <c r="W20" s="17"/>
      <c r="X20" s="328"/>
    </row>
    <row r="21" spans="2:25" ht="12" customHeight="1" thickTop="1">
      <c r="B21" s="11" t="s">
        <v>409</v>
      </c>
      <c r="C21" s="12"/>
      <c r="D21" s="13"/>
      <c r="E21" s="36" t="s">
        <v>410</v>
      </c>
      <c r="F21" s="12"/>
      <c r="G21" s="12"/>
      <c r="H21" s="327"/>
      <c r="K21" s="336"/>
      <c r="L21" s="346"/>
      <c r="M21" s="399"/>
      <c r="N21" s="126" t="s">
        <v>439</v>
      </c>
      <c r="O21" s="327"/>
      <c r="P21" s="37"/>
      <c r="Q21" s="11"/>
      <c r="R21" s="363" t="s">
        <v>457</v>
      </c>
      <c r="S21" s="364"/>
      <c r="T21" s="37"/>
      <c r="U21" s="37"/>
      <c r="V21" s="38"/>
      <c r="W21" s="36"/>
      <c r="X21" s="327"/>
    </row>
    <row r="22" spans="2:25" ht="12" customHeight="1" thickBot="1">
      <c r="B22" s="11"/>
      <c r="C22" s="12"/>
      <c r="D22" s="13"/>
      <c r="E22" s="41"/>
      <c r="F22" s="12"/>
      <c r="G22" s="12"/>
      <c r="H22" s="329"/>
      <c r="K22" s="336"/>
      <c r="L22" s="346"/>
      <c r="M22" s="400"/>
      <c r="N22" s="124" t="s">
        <v>440</v>
      </c>
      <c r="O22" s="354"/>
      <c r="P22" s="37"/>
      <c r="Q22" s="11"/>
      <c r="R22" s="17"/>
      <c r="S22" s="12"/>
      <c r="T22" s="98"/>
      <c r="U22" s="37"/>
      <c r="V22" s="38"/>
      <c r="W22" s="41"/>
      <c r="X22" s="328"/>
    </row>
    <row r="23" spans="2:25" ht="12" customHeight="1" thickTop="1">
      <c r="B23" s="11" t="s">
        <v>235</v>
      </c>
      <c r="C23" s="12"/>
      <c r="D23" s="13"/>
      <c r="E23" s="36" t="s">
        <v>236</v>
      </c>
      <c r="F23" s="12"/>
      <c r="G23" s="12"/>
      <c r="H23" s="102"/>
      <c r="I23" s="11"/>
      <c r="K23" s="11"/>
      <c r="L23" s="13"/>
      <c r="M23" s="396" t="s">
        <v>441</v>
      </c>
      <c r="N23" s="397"/>
      <c r="O23" s="102"/>
      <c r="P23" s="37"/>
      <c r="Q23" s="11"/>
      <c r="R23" s="363" t="s">
        <v>469</v>
      </c>
      <c r="S23" s="364"/>
      <c r="T23" s="102"/>
      <c r="V23" s="38"/>
      <c r="W23" s="36"/>
      <c r="X23" s="327"/>
    </row>
    <row r="24" spans="2:25" ht="12" customHeight="1" thickBot="1">
      <c r="B24" s="11"/>
      <c r="C24" s="12"/>
      <c r="D24" s="13"/>
      <c r="E24" s="41"/>
      <c r="F24" s="12"/>
      <c r="G24" s="12"/>
      <c r="H24" s="98"/>
      <c r="I24" s="11"/>
      <c r="K24" s="11"/>
      <c r="L24" s="13"/>
      <c r="M24" s="357" t="s">
        <v>442</v>
      </c>
      <c r="N24" s="338"/>
      <c r="O24" s="98"/>
      <c r="P24" s="37"/>
      <c r="Q24" s="46"/>
      <c r="R24" s="355" t="s">
        <v>470</v>
      </c>
      <c r="S24" s="370"/>
      <c r="T24" s="98"/>
      <c r="V24" s="38"/>
      <c r="W24" s="41"/>
      <c r="X24" s="328"/>
    </row>
    <row r="25" spans="2:25" ht="12" customHeight="1" thickTop="1">
      <c r="B25" s="11"/>
      <c r="C25" s="12"/>
      <c r="D25" s="12"/>
      <c r="E25" s="36" t="s">
        <v>118</v>
      </c>
      <c r="F25" s="35"/>
      <c r="G25" s="54"/>
      <c r="H25" s="329"/>
      <c r="I25" s="11"/>
      <c r="K25" s="11"/>
      <c r="L25" s="13"/>
      <c r="M25" s="371" t="s">
        <v>443</v>
      </c>
      <c r="N25" s="372"/>
      <c r="O25" s="395"/>
      <c r="Q25" s="62" t="s">
        <v>471</v>
      </c>
      <c r="R25" s="137"/>
      <c r="S25" s="12"/>
      <c r="T25" s="368"/>
      <c r="V25" s="38"/>
      <c r="W25" s="17"/>
      <c r="X25" s="327"/>
    </row>
    <row r="26" spans="2:25" ht="12" customHeight="1" thickBot="1">
      <c r="B26" s="46"/>
      <c r="C26" s="40"/>
      <c r="D26" s="40"/>
      <c r="E26" s="41"/>
      <c r="F26" s="40"/>
      <c r="G26" s="55"/>
      <c r="H26" s="328"/>
      <c r="I26" s="11"/>
      <c r="K26" s="11"/>
      <c r="L26" s="13"/>
      <c r="M26" s="355" t="s">
        <v>444</v>
      </c>
      <c r="N26" s="356"/>
      <c r="O26" s="328"/>
      <c r="Q26" s="46"/>
      <c r="R26" s="17"/>
      <c r="S26" s="12"/>
      <c r="T26" s="369"/>
      <c r="V26" s="38"/>
      <c r="W26" s="41"/>
      <c r="X26" s="328"/>
    </row>
    <row r="27" spans="2:25" ht="12" customHeight="1" thickTop="1">
      <c r="B27" s="380" t="s">
        <v>411</v>
      </c>
      <c r="C27" s="381"/>
      <c r="D27" s="382"/>
      <c r="E27" s="36" t="s">
        <v>66</v>
      </c>
      <c r="F27" s="35"/>
      <c r="G27" s="35"/>
      <c r="H27" s="329"/>
      <c r="K27" s="11"/>
      <c r="L27" s="13"/>
      <c r="M27" s="373" t="s">
        <v>445</v>
      </c>
      <c r="N27" s="374"/>
      <c r="O27" s="327"/>
      <c r="Q27" s="11" t="s">
        <v>229</v>
      </c>
      <c r="R27" s="36"/>
      <c r="S27" s="35" t="s">
        <v>472</v>
      </c>
      <c r="T27" s="327"/>
      <c r="V27" s="38"/>
      <c r="W27" s="17"/>
      <c r="X27" s="327"/>
    </row>
    <row r="28" spans="2:25" ht="12" customHeight="1" thickBot="1">
      <c r="B28" s="11"/>
      <c r="C28" s="12"/>
      <c r="D28" s="12"/>
      <c r="E28" s="41"/>
      <c r="F28" s="12"/>
      <c r="G28" s="12"/>
      <c r="H28" s="328"/>
      <c r="K28" s="11"/>
      <c r="L28" s="13"/>
      <c r="M28" s="366"/>
      <c r="N28" s="367"/>
      <c r="O28" s="328"/>
      <c r="Q28" s="46"/>
      <c r="R28" s="41"/>
      <c r="S28" s="40"/>
      <c r="T28" s="328"/>
      <c r="V28" s="56"/>
      <c r="W28" s="57"/>
      <c r="X28" s="328"/>
    </row>
    <row r="29" spans="2:25" ht="12" customHeight="1" thickTop="1">
      <c r="B29" s="45" t="s">
        <v>240</v>
      </c>
      <c r="C29" s="35"/>
      <c r="D29" s="35"/>
      <c r="E29" s="36" t="s">
        <v>138</v>
      </c>
      <c r="F29" s="35"/>
      <c r="G29" s="54"/>
      <c r="H29" s="327"/>
      <c r="I29" s="11"/>
      <c r="K29" s="336"/>
      <c r="L29" s="346"/>
      <c r="M29" s="109" t="s">
        <v>234</v>
      </c>
      <c r="N29" s="12"/>
      <c r="O29" s="327"/>
      <c r="Q29" s="11" t="s">
        <v>98</v>
      </c>
      <c r="R29" s="17"/>
      <c r="S29" s="35" t="s">
        <v>473</v>
      </c>
      <c r="T29" s="102"/>
      <c r="U29" s="37"/>
      <c r="V29" s="38"/>
      <c r="W29" s="17"/>
      <c r="X29" s="58"/>
    </row>
    <row r="30" spans="2:25" ht="12" customHeight="1" thickBot="1">
      <c r="B30" s="11"/>
      <c r="C30" s="12"/>
      <c r="D30" s="12"/>
      <c r="E30" s="17"/>
      <c r="F30" s="12"/>
      <c r="G30" s="55"/>
      <c r="H30" s="329"/>
      <c r="I30" s="11"/>
      <c r="K30" s="336"/>
      <c r="L30" s="346"/>
      <c r="M30" s="366"/>
      <c r="N30" s="367"/>
      <c r="O30" s="328"/>
      <c r="Q30" s="46"/>
      <c r="R30" s="41"/>
      <c r="S30" s="40"/>
      <c r="T30" s="98"/>
      <c r="U30" s="37"/>
      <c r="V30" s="38"/>
      <c r="W30" s="17"/>
      <c r="X30" s="59"/>
    </row>
    <row r="31" spans="2:25" ht="12" customHeight="1" thickTop="1" thickBot="1">
      <c r="B31" s="45" t="s">
        <v>414</v>
      </c>
      <c r="C31" s="117"/>
      <c r="D31" s="117"/>
      <c r="E31" s="36" t="s">
        <v>413</v>
      </c>
      <c r="F31" s="35"/>
      <c r="G31" s="12"/>
      <c r="H31" s="359"/>
      <c r="I31" s="11"/>
      <c r="K31" s="375"/>
      <c r="L31" s="376"/>
      <c r="M31" s="109" t="s">
        <v>446</v>
      </c>
      <c r="N31" s="12"/>
      <c r="O31" s="327"/>
      <c r="Q31" s="62" t="s">
        <v>474</v>
      </c>
      <c r="R31" s="136"/>
      <c r="S31" s="35"/>
      <c r="T31" s="133"/>
      <c r="U31" s="37"/>
      <c r="V31" s="42"/>
      <c r="W31" s="41"/>
      <c r="X31" s="59"/>
    </row>
    <row r="32" spans="2:25" ht="12" customHeight="1" thickBot="1">
      <c r="B32" s="46"/>
      <c r="C32" s="40"/>
      <c r="D32" s="40"/>
      <c r="E32" s="41"/>
      <c r="F32" s="40"/>
      <c r="G32" s="40"/>
      <c r="H32" s="360"/>
      <c r="I32" s="11"/>
      <c r="K32" s="46"/>
      <c r="L32" s="40"/>
      <c r="M32" s="40"/>
      <c r="N32" s="40"/>
      <c r="O32" s="328"/>
      <c r="Q32" s="46"/>
      <c r="R32" s="41"/>
      <c r="S32" s="40"/>
      <c r="T32" s="134"/>
      <c r="U32" s="37"/>
      <c r="V32" s="38"/>
      <c r="W32" s="36"/>
      <c r="X32" s="102"/>
      <c r="Y32" s="12"/>
    </row>
    <row r="33" spans="2:30" ht="12" customHeight="1" thickBot="1">
      <c r="B33" s="336" t="s">
        <v>11</v>
      </c>
      <c r="C33" s="337"/>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36" t="s">
        <v>207</v>
      </c>
      <c r="C34" s="337"/>
      <c r="D34" s="13"/>
      <c r="E34" s="40"/>
      <c r="F34" s="12"/>
      <c r="G34" s="12"/>
      <c r="H34" s="98"/>
      <c r="I34" s="11"/>
      <c r="K34" s="46"/>
      <c r="L34" s="40"/>
      <c r="M34" s="40"/>
      <c r="N34" s="40"/>
      <c r="O34" s="26"/>
      <c r="P34" s="37"/>
      <c r="Q34" s="11"/>
      <c r="R34" s="17"/>
      <c r="S34" s="40"/>
      <c r="T34" s="98"/>
      <c r="U34" s="37"/>
      <c r="V34" s="38"/>
      <c r="W34" s="36"/>
      <c r="X34" s="329"/>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9"/>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27"/>
      <c r="I37" s="11"/>
      <c r="K37" s="11"/>
      <c r="L37" s="13"/>
      <c r="M37" s="129" t="s">
        <v>447</v>
      </c>
      <c r="N37" s="53"/>
      <c r="O37" s="395"/>
      <c r="Q37" s="11"/>
      <c r="R37" s="17"/>
      <c r="S37" s="36"/>
      <c r="T37" s="329"/>
      <c r="V37" s="38"/>
      <c r="W37" s="41"/>
      <c r="X37" s="98"/>
      <c r="Y37" s="12"/>
    </row>
    <row r="38" spans="2:30" ht="12" customHeight="1" thickBot="1">
      <c r="B38" s="46"/>
      <c r="C38" s="40"/>
      <c r="D38" s="48"/>
      <c r="E38" s="12"/>
      <c r="F38" s="40"/>
      <c r="G38" s="40"/>
      <c r="H38" s="329"/>
      <c r="I38" s="11"/>
      <c r="K38" s="11"/>
      <c r="L38" s="13"/>
      <c r="M38" s="12" t="s">
        <v>104</v>
      </c>
      <c r="N38" s="48"/>
      <c r="O38" s="354"/>
      <c r="Q38" s="11"/>
      <c r="R38" s="17"/>
      <c r="S38" s="41"/>
      <c r="T38" s="329"/>
      <c r="V38" s="38"/>
      <c r="W38" s="17"/>
      <c r="X38" s="59"/>
    </row>
    <row r="39" spans="2:30" ht="12" customHeight="1" thickTop="1">
      <c r="B39" s="344" t="s">
        <v>211</v>
      </c>
      <c r="C39" s="383"/>
      <c r="D39" s="35"/>
      <c r="E39" s="384"/>
      <c r="F39" s="35"/>
      <c r="G39" s="35"/>
      <c r="H39" s="327"/>
      <c r="I39" s="11"/>
      <c r="K39" s="11"/>
      <c r="L39" s="13"/>
      <c r="M39" s="12"/>
      <c r="N39" s="36" t="s">
        <v>449</v>
      </c>
      <c r="O39" s="102"/>
      <c r="P39" s="37"/>
      <c r="Q39" s="11"/>
      <c r="R39" s="17"/>
      <c r="S39" s="17"/>
      <c r="T39" s="102"/>
      <c r="U39" s="37"/>
      <c r="V39" s="38"/>
      <c r="W39" s="17"/>
      <c r="X39" s="59"/>
    </row>
    <row r="40" spans="2:30" ht="12" customHeight="1" thickBot="1">
      <c r="B40" s="46"/>
      <c r="C40" s="40"/>
      <c r="D40" s="40"/>
      <c r="E40" s="385"/>
      <c r="F40" s="40"/>
      <c r="G40" s="40"/>
      <c r="H40" s="329"/>
      <c r="I40" s="11"/>
      <c r="K40" s="11"/>
      <c r="L40" s="13"/>
      <c r="M40" s="12"/>
      <c r="N40" s="17"/>
      <c r="O40" s="98"/>
      <c r="P40" s="37"/>
      <c r="Q40" s="46"/>
      <c r="R40" s="41"/>
      <c r="S40" s="41"/>
      <c r="T40" s="98"/>
      <c r="U40" s="37"/>
      <c r="V40" s="38"/>
      <c r="W40" s="41"/>
      <c r="X40" s="59"/>
      <c r="Y40" s="12"/>
    </row>
    <row r="41" spans="2:30" ht="12" customHeight="1" thickTop="1">
      <c r="B41" s="344" t="s">
        <v>213</v>
      </c>
      <c r="C41" s="383"/>
      <c r="D41" s="53"/>
      <c r="E41" s="36" t="s">
        <v>35</v>
      </c>
      <c r="F41" s="35"/>
      <c r="G41" s="35"/>
      <c r="H41" s="327"/>
      <c r="I41" s="11"/>
      <c r="K41" s="11"/>
      <c r="L41" s="13"/>
      <c r="M41" s="12"/>
      <c r="N41" s="36" t="s">
        <v>450</v>
      </c>
      <c r="O41" s="395"/>
      <c r="Q41" s="44"/>
      <c r="R41" s="36"/>
      <c r="S41" s="35"/>
      <c r="T41" s="37"/>
      <c r="U41" s="37"/>
      <c r="V41" s="45"/>
      <c r="W41" s="17"/>
      <c r="X41" s="340"/>
      <c r="Y41" s="12"/>
    </row>
    <row r="42" spans="2:30" ht="12" customHeight="1" thickBot="1">
      <c r="B42" s="336" t="s">
        <v>38</v>
      </c>
      <c r="C42" s="337"/>
      <c r="D42" s="13"/>
      <c r="E42" s="41"/>
      <c r="F42" s="40"/>
      <c r="G42" s="40"/>
      <c r="H42" s="329"/>
      <c r="I42" s="11"/>
      <c r="K42" s="11"/>
      <c r="L42" s="13"/>
      <c r="M42" s="52"/>
      <c r="N42" s="41" t="s">
        <v>451</v>
      </c>
      <c r="O42" s="328"/>
      <c r="Q42" s="46"/>
      <c r="R42" s="41"/>
      <c r="S42" s="40"/>
      <c r="T42" s="98"/>
      <c r="U42" s="37"/>
      <c r="V42" s="38"/>
      <c r="W42" s="17"/>
      <c r="X42" s="341"/>
      <c r="Y42" s="12"/>
    </row>
    <row r="43" spans="2:30" ht="12" customHeight="1" thickTop="1">
      <c r="B43" s="11"/>
      <c r="C43" s="12"/>
      <c r="D43" s="13"/>
      <c r="E43" s="36" t="s">
        <v>415</v>
      </c>
      <c r="F43" s="35"/>
      <c r="G43" s="35"/>
      <c r="H43" s="327"/>
      <c r="K43" s="11"/>
      <c r="L43" s="13"/>
      <c r="M43" s="12" t="s">
        <v>452</v>
      </c>
      <c r="N43" s="12"/>
      <c r="O43" s="327"/>
      <c r="Q43" s="62"/>
      <c r="R43" s="136"/>
      <c r="S43" s="35"/>
      <c r="T43" s="12"/>
      <c r="U43" s="63"/>
      <c r="V43" s="38"/>
      <c r="W43" s="36"/>
      <c r="X43" s="329"/>
    </row>
    <row r="44" spans="2:30" ht="12" customHeight="1" thickBot="1">
      <c r="B44" s="11"/>
      <c r="C44" s="12"/>
      <c r="D44" s="13"/>
      <c r="E44" s="41"/>
      <c r="F44" s="12"/>
      <c r="G44" s="12"/>
      <c r="H44" s="329"/>
      <c r="K44" s="11"/>
      <c r="L44" s="13"/>
      <c r="M44" s="41"/>
      <c r="N44" s="40"/>
      <c r="O44" s="328"/>
      <c r="Q44" s="46"/>
      <c r="R44" s="41"/>
      <c r="S44" s="40"/>
      <c r="T44" s="26"/>
      <c r="U44" s="37"/>
      <c r="V44" s="42"/>
      <c r="W44" s="41"/>
      <c r="X44" s="329"/>
    </row>
    <row r="45" spans="2:30" ht="12" customHeight="1" thickTop="1">
      <c r="B45" s="11"/>
      <c r="C45" s="12"/>
      <c r="D45" s="13"/>
      <c r="E45" s="36" t="s">
        <v>416</v>
      </c>
      <c r="F45" s="35"/>
      <c r="G45" s="54"/>
      <c r="H45" s="119"/>
      <c r="K45" s="49" t="s">
        <v>453</v>
      </c>
      <c r="L45" s="61"/>
      <c r="M45" s="36" t="s">
        <v>455</v>
      </c>
      <c r="N45" s="12"/>
      <c r="O45" s="327"/>
      <c r="Q45" s="11"/>
      <c r="R45" s="17"/>
      <c r="S45" s="12"/>
      <c r="T45" s="37"/>
      <c r="U45" s="37"/>
      <c r="V45" s="38"/>
      <c r="W45" s="17"/>
      <c r="X45" s="340"/>
      <c r="Y45" s="12"/>
    </row>
    <row r="46" spans="2:30" ht="12" customHeight="1" thickBot="1">
      <c r="B46" s="11"/>
      <c r="C46" s="12"/>
      <c r="D46" s="13"/>
      <c r="E46" s="17"/>
      <c r="F46" s="12"/>
      <c r="G46" s="64"/>
      <c r="H46" s="59"/>
      <c r="I46" s="11"/>
      <c r="K46" s="11" t="s">
        <v>454</v>
      </c>
      <c r="L46" s="12"/>
      <c r="M46" s="41"/>
      <c r="N46" s="40"/>
      <c r="O46" s="328"/>
      <c r="P46" s="37"/>
      <c r="Q46" s="11"/>
      <c r="R46" s="17"/>
      <c r="S46" s="40"/>
      <c r="T46" s="98"/>
      <c r="U46" s="37"/>
      <c r="V46" s="38"/>
      <c r="W46" s="41"/>
      <c r="X46" s="341"/>
      <c r="Y46" s="12"/>
    </row>
    <row r="47" spans="2:30" ht="12" customHeight="1" thickTop="1">
      <c r="B47" s="44" t="s">
        <v>417</v>
      </c>
      <c r="C47" s="35"/>
      <c r="D47" s="35"/>
      <c r="E47" s="36" t="s">
        <v>418</v>
      </c>
      <c r="F47" s="35"/>
      <c r="G47" s="54"/>
      <c r="H47" s="327"/>
      <c r="I47" s="11"/>
      <c r="K47" s="33"/>
      <c r="L47" s="34"/>
      <c r="M47" s="118" t="s">
        <v>456</v>
      </c>
      <c r="N47" s="35"/>
      <c r="O47" s="327"/>
      <c r="P47" s="37"/>
      <c r="Q47" s="11"/>
      <c r="R47" s="36"/>
      <c r="S47" s="35"/>
      <c r="T47" s="37"/>
      <c r="U47" s="37"/>
      <c r="V47" s="38"/>
      <c r="W47" s="36"/>
      <c r="X47" s="102"/>
      <c r="Y47" s="12"/>
    </row>
    <row r="48" spans="2:30" ht="12" customHeight="1" thickBot="1">
      <c r="B48" s="11"/>
      <c r="C48" s="12"/>
      <c r="D48" s="13"/>
      <c r="E48" s="17" t="s">
        <v>419</v>
      </c>
      <c r="F48" s="12"/>
      <c r="G48" s="12"/>
      <c r="H48" s="329"/>
      <c r="K48" s="46"/>
      <c r="L48" s="48"/>
      <c r="M48" s="41" t="s">
        <v>104</v>
      </c>
      <c r="N48" s="40"/>
      <c r="O48" s="329"/>
      <c r="P48" s="37"/>
      <c r="Q48" s="11"/>
      <c r="R48" s="17"/>
      <c r="S48" s="40"/>
      <c r="T48" s="98"/>
      <c r="U48" s="37"/>
      <c r="V48" s="42"/>
      <c r="W48" s="41"/>
      <c r="X48" s="98"/>
      <c r="Y48" s="12"/>
    </row>
    <row r="49" spans="2:25" ht="12" customHeight="1" thickTop="1">
      <c r="B49" s="380" t="s">
        <v>420</v>
      </c>
      <c r="C49" s="381"/>
      <c r="D49" s="382"/>
      <c r="E49" s="36" t="s">
        <v>421</v>
      </c>
      <c r="F49" s="35"/>
      <c r="G49" s="35"/>
      <c r="H49" s="327"/>
      <c r="K49" s="49" t="s">
        <v>239</v>
      </c>
      <c r="L49" s="13"/>
      <c r="M49" s="12" t="s">
        <v>134</v>
      </c>
      <c r="N49" s="118"/>
      <c r="O49" s="102"/>
      <c r="Q49" s="11"/>
      <c r="R49" s="36"/>
      <c r="S49" s="35"/>
      <c r="T49" s="102"/>
      <c r="U49" s="37"/>
      <c r="V49" s="38"/>
      <c r="W49" s="36"/>
      <c r="X49" s="329"/>
    </row>
    <row r="50" spans="2:25" ht="12" customHeight="1" thickBot="1">
      <c r="B50" s="11"/>
      <c r="C50" s="12"/>
      <c r="D50" s="12"/>
      <c r="E50" s="17"/>
      <c r="F50" s="12"/>
      <c r="G50" s="12"/>
      <c r="H50" s="329"/>
      <c r="K50" s="11"/>
      <c r="L50" s="13"/>
      <c r="M50" s="12"/>
      <c r="N50" s="132"/>
      <c r="O50" s="98"/>
      <c r="Q50" s="11"/>
      <c r="R50" s="17"/>
      <c r="S50" s="40"/>
      <c r="T50" s="98"/>
      <c r="U50" s="37"/>
      <c r="V50" s="38"/>
      <c r="W50" s="41"/>
      <c r="X50" s="328"/>
    </row>
    <row r="51" spans="2:25" ht="12" customHeight="1" thickTop="1">
      <c r="B51" s="44" t="s">
        <v>422</v>
      </c>
      <c r="C51" s="35"/>
      <c r="D51" s="35"/>
      <c r="E51" s="36" t="s">
        <v>66</v>
      </c>
      <c r="F51" s="35"/>
      <c r="G51" s="54"/>
      <c r="H51" s="327"/>
      <c r="K51" s="33"/>
      <c r="L51" s="34"/>
      <c r="M51" s="118" t="s">
        <v>457</v>
      </c>
      <c r="N51" s="35"/>
      <c r="O51" s="329"/>
      <c r="Q51" s="11"/>
      <c r="R51" s="36"/>
      <c r="S51" s="12"/>
      <c r="T51" s="329"/>
      <c r="V51" s="38"/>
      <c r="W51" s="17"/>
      <c r="X51" s="327"/>
    </row>
    <row r="52" spans="2:25" ht="12" customHeight="1" thickBot="1">
      <c r="B52" s="46" t="s">
        <v>423</v>
      </c>
      <c r="C52" s="40"/>
      <c r="D52" s="48"/>
      <c r="E52" s="41"/>
      <c r="F52" s="40"/>
      <c r="G52" s="40"/>
      <c r="H52" s="329"/>
      <c r="K52" s="11"/>
      <c r="L52" s="13"/>
      <c r="M52" s="12"/>
      <c r="N52" s="40"/>
      <c r="O52" s="328"/>
      <c r="Q52" s="46"/>
      <c r="R52" s="41"/>
      <c r="S52" s="40"/>
      <c r="T52" s="329"/>
      <c r="V52" s="42"/>
      <c r="W52" s="41"/>
      <c r="X52" s="328"/>
    </row>
    <row r="53" spans="2:25" ht="12" customHeight="1" thickTop="1">
      <c r="B53" s="49" t="s">
        <v>424</v>
      </c>
      <c r="C53" s="12"/>
      <c r="D53" s="12"/>
      <c r="E53" s="17" t="s">
        <v>425</v>
      </c>
      <c r="F53" s="12"/>
      <c r="G53" s="12"/>
      <c r="H53" s="327"/>
      <c r="K53" s="11"/>
      <c r="L53" s="13"/>
      <c r="M53" s="36" t="s">
        <v>458</v>
      </c>
      <c r="N53" s="35"/>
      <c r="O53" s="327"/>
      <c r="Q53" s="11"/>
      <c r="R53" s="17"/>
      <c r="S53" s="12"/>
      <c r="T53" s="102"/>
      <c r="U53" s="37"/>
      <c r="V53" s="38"/>
      <c r="W53" s="17"/>
      <c r="X53" s="327"/>
    </row>
    <row r="54" spans="2:25" ht="12" customHeight="1" thickBot="1">
      <c r="B54" s="11"/>
      <c r="C54" s="12"/>
      <c r="D54" s="12"/>
      <c r="E54" s="17"/>
      <c r="F54" s="12"/>
      <c r="G54" s="12"/>
      <c r="H54" s="329"/>
      <c r="K54" s="11"/>
      <c r="L54" s="13"/>
      <c r="M54" s="12" t="s">
        <v>448</v>
      </c>
      <c r="N54" s="40"/>
      <c r="O54" s="354"/>
      <c r="Q54" s="42"/>
      <c r="R54" s="40"/>
      <c r="S54" s="41"/>
      <c r="T54" s="98"/>
      <c r="U54" s="37"/>
      <c r="V54" s="38"/>
      <c r="W54" s="17"/>
      <c r="X54" s="328"/>
    </row>
    <row r="55" spans="2:25" ht="12" customHeight="1" thickTop="1">
      <c r="B55" s="11"/>
      <c r="C55" s="12"/>
      <c r="D55" s="12"/>
      <c r="E55" s="17" t="s">
        <v>426</v>
      </c>
      <c r="F55" s="12"/>
      <c r="G55" s="64"/>
      <c r="H55" s="327"/>
      <c r="K55" s="33"/>
      <c r="L55" s="34"/>
      <c r="M55" s="131"/>
      <c r="N55" s="53" t="s">
        <v>459</v>
      </c>
      <c r="O55" s="327"/>
      <c r="P55" s="37"/>
      <c r="Q55" s="45"/>
      <c r="R55" s="35"/>
      <c r="S55" s="36"/>
      <c r="T55" s="37"/>
      <c r="U55" s="37"/>
      <c r="V55" s="45"/>
      <c r="W55" s="36"/>
      <c r="X55" s="327"/>
    </row>
    <row r="56" spans="2:25" ht="12" customHeight="1" thickBot="1">
      <c r="B56" s="11"/>
      <c r="C56" s="12"/>
      <c r="D56" s="12"/>
      <c r="E56" s="17"/>
      <c r="F56" s="12"/>
      <c r="G56" s="64"/>
      <c r="H56" s="329"/>
      <c r="K56" s="11"/>
      <c r="L56" s="12"/>
      <c r="M56" s="130"/>
      <c r="N56" s="40" t="s">
        <v>460</v>
      </c>
      <c r="O56" s="354"/>
      <c r="P56" s="37"/>
      <c r="Q56" s="42"/>
      <c r="R56" s="40"/>
      <c r="S56" s="41"/>
      <c r="T56" s="98"/>
      <c r="U56" s="37"/>
      <c r="V56" s="42"/>
      <c r="W56" s="41"/>
      <c r="X56" s="329"/>
    </row>
    <row r="57" spans="2:25" ht="12" customHeight="1" thickTop="1">
      <c r="B57" s="11"/>
      <c r="C57" s="12"/>
      <c r="D57" s="12"/>
      <c r="E57" s="17" t="s">
        <v>427</v>
      </c>
      <c r="F57" s="12"/>
      <c r="G57" s="12"/>
      <c r="H57" s="327"/>
      <c r="K57" s="11"/>
      <c r="L57" s="12"/>
      <c r="M57" s="130"/>
      <c r="N57" s="35" t="s">
        <v>461</v>
      </c>
      <c r="O57" s="327"/>
      <c r="P57" s="37"/>
      <c r="Q57" s="45"/>
      <c r="R57" s="35"/>
      <c r="S57" s="36"/>
      <c r="T57" s="102"/>
      <c r="U57" s="37"/>
      <c r="V57" s="38"/>
      <c r="W57" s="17"/>
      <c r="X57" s="102"/>
      <c r="Y57" s="12"/>
    </row>
    <row r="58" spans="2:25" ht="12" customHeight="1" thickBot="1">
      <c r="B58" s="11"/>
      <c r="C58" s="12"/>
      <c r="D58" s="12"/>
      <c r="E58" s="17"/>
      <c r="F58" s="12"/>
      <c r="G58" s="12"/>
      <c r="H58" s="329"/>
      <c r="K58" s="11"/>
      <c r="L58" s="12"/>
      <c r="M58" s="52"/>
      <c r="N58" s="40" t="s">
        <v>448</v>
      </c>
      <c r="O58" s="354"/>
      <c r="P58" s="37"/>
      <c r="Q58" s="42"/>
      <c r="R58" s="40"/>
      <c r="S58" s="41"/>
      <c r="T58" s="98"/>
      <c r="U58" s="37"/>
      <c r="V58" s="38"/>
      <c r="W58" s="17"/>
      <c r="X58" s="98"/>
      <c r="Y58" s="12"/>
    </row>
    <row r="59" spans="2:25" ht="12" customHeight="1" thickTop="1">
      <c r="B59" s="11"/>
      <c r="C59" s="12"/>
      <c r="D59" s="13"/>
      <c r="E59" s="377" t="s">
        <v>428</v>
      </c>
      <c r="F59" s="378"/>
      <c r="G59" s="379"/>
      <c r="H59" s="327"/>
      <c r="K59" s="11"/>
      <c r="L59" s="13"/>
      <c r="M59" s="36" t="s">
        <v>462</v>
      </c>
      <c r="N59" s="35"/>
      <c r="O59" s="327"/>
      <c r="P59" s="37"/>
      <c r="Q59" s="45"/>
      <c r="R59" s="35"/>
      <c r="S59" s="36"/>
      <c r="T59" s="329"/>
      <c r="V59" s="45"/>
      <c r="W59" s="51"/>
      <c r="X59" s="68"/>
    </row>
    <row r="60" spans="2:25" ht="12" customHeight="1" thickBot="1">
      <c r="B60" s="21"/>
      <c r="C60" s="22"/>
      <c r="D60" s="22"/>
      <c r="E60" s="25" t="s">
        <v>429</v>
      </c>
      <c r="F60" s="22"/>
      <c r="G60" s="120"/>
      <c r="H60" s="354"/>
      <c r="K60" s="21"/>
      <c r="L60" s="22"/>
      <c r="M60" s="25"/>
      <c r="N60" s="22"/>
      <c r="O60" s="354"/>
      <c r="P60" s="37"/>
      <c r="Q60" s="56"/>
      <c r="R60" s="22"/>
      <c r="S60" s="57"/>
      <c r="T60" s="328"/>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30" t="s">
        <v>146</v>
      </c>
      <c r="D64" s="331"/>
      <c r="E64" s="331"/>
      <c r="F64" s="332"/>
      <c r="I64" s="333" t="s">
        <v>147</v>
      </c>
      <c r="J64" s="334"/>
      <c r="K64" s="334"/>
      <c r="L64" s="335"/>
      <c r="M64" s="3" t="s">
        <v>164</v>
      </c>
      <c r="N64" s="3"/>
      <c r="O64" s="3"/>
      <c r="P64" s="3"/>
      <c r="Q64" s="3"/>
      <c r="R64" s="3"/>
      <c r="S64" s="3"/>
      <c r="T64" s="3"/>
      <c r="U64" s="3"/>
      <c r="V64" s="339" t="s">
        <v>148</v>
      </c>
      <c r="W64" s="320" t="s">
        <v>165</v>
      </c>
    </row>
    <row r="65" spans="3:23" ht="6.95" customHeight="1">
      <c r="C65" s="298" t="s">
        <v>149</v>
      </c>
      <c r="D65" s="298" t="s">
        <v>252</v>
      </c>
      <c r="E65" s="298" t="s">
        <v>150</v>
      </c>
      <c r="F65" s="298" t="s">
        <v>253</v>
      </c>
      <c r="I65" s="336"/>
      <c r="J65" s="337"/>
      <c r="K65" s="337"/>
      <c r="L65" s="338"/>
      <c r="M65" s="33"/>
      <c r="N65" s="12"/>
      <c r="O65" s="12"/>
      <c r="P65" s="12"/>
      <c r="Q65" s="12"/>
      <c r="R65" s="12"/>
      <c r="S65" s="12"/>
      <c r="T65" s="12"/>
      <c r="U65" s="12"/>
      <c r="V65" s="317"/>
      <c r="W65" s="321"/>
    </row>
    <row r="66" spans="3:23" ht="6.95" customHeight="1">
      <c r="C66" s="298"/>
      <c r="D66" s="298"/>
      <c r="E66" s="298"/>
      <c r="F66" s="298"/>
      <c r="I66" s="322" t="s">
        <v>151</v>
      </c>
      <c r="J66" s="323"/>
      <c r="K66" s="323"/>
      <c r="L66" s="324"/>
      <c r="M66" s="110"/>
      <c r="N66" s="308" t="e">
        <f>VLOOKUP(Z2,#REF!,12,0)</f>
        <v>#REF!</v>
      </c>
      <c r="O66" s="308"/>
      <c r="P66" s="308"/>
      <c r="Q66" s="308"/>
      <c r="R66" s="308"/>
      <c r="S66" s="308"/>
      <c r="T66" s="12"/>
      <c r="U66" s="12"/>
      <c r="V66" s="294" t="s">
        <v>152</v>
      </c>
      <c r="W66" s="318"/>
    </row>
    <row r="67" spans="3:23" ht="14.1" customHeight="1">
      <c r="C67" s="72" t="s">
        <v>153</v>
      </c>
      <c r="D67" s="72" t="s">
        <v>254</v>
      </c>
      <c r="E67" s="72" t="s">
        <v>154</v>
      </c>
      <c r="F67" s="72" t="s">
        <v>255</v>
      </c>
      <c r="I67" s="313"/>
      <c r="J67" s="325"/>
      <c r="K67" s="325"/>
      <c r="L67" s="326"/>
      <c r="M67" s="110"/>
      <c r="N67" s="308"/>
      <c r="O67" s="308"/>
      <c r="P67" s="308"/>
      <c r="Q67" s="308"/>
      <c r="R67" s="308"/>
      <c r="S67" s="308"/>
      <c r="T67" s="12"/>
      <c r="U67" s="12"/>
      <c r="V67" s="317"/>
      <c r="W67" s="319"/>
    </row>
    <row r="68" spans="3:23" ht="14.1" customHeight="1">
      <c r="C68" s="72" t="s">
        <v>155</v>
      </c>
      <c r="D68" s="72" t="s">
        <v>256</v>
      </c>
      <c r="E68" s="72" t="s">
        <v>156</v>
      </c>
      <c r="F68" s="72" t="s">
        <v>257</v>
      </c>
      <c r="I68" s="299" t="s">
        <v>258</v>
      </c>
      <c r="J68" s="300"/>
      <c r="K68" s="303" t="s">
        <v>259</v>
      </c>
      <c r="L68" s="304"/>
      <c r="M68" s="307" t="e">
        <f>VLOOKUP(Z2,#REF!,11,0)</f>
        <v>#REF!</v>
      </c>
      <c r="N68" s="308"/>
      <c r="O68" s="308"/>
      <c r="P68" s="308"/>
      <c r="Q68" s="308"/>
      <c r="R68" s="308"/>
      <c r="S68" s="308"/>
      <c r="T68" s="12"/>
      <c r="U68" s="12"/>
      <c r="V68" s="294" t="s">
        <v>157</v>
      </c>
      <c r="W68" s="318"/>
    </row>
    <row r="69" spans="3:23" ht="6.95" customHeight="1">
      <c r="C69" s="298" t="s">
        <v>158</v>
      </c>
      <c r="D69" s="298" t="s">
        <v>242</v>
      </c>
      <c r="E69" s="298" t="s">
        <v>159</v>
      </c>
      <c r="F69" s="298" t="s">
        <v>260</v>
      </c>
      <c r="I69" s="313"/>
      <c r="J69" s="314"/>
      <c r="K69" s="315"/>
      <c r="L69" s="316"/>
      <c r="M69" s="307"/>
      <c r="N69" s="308"/>
      <c r="O69" s="308"/>
      <c r="P69" s="308"/>
      <c r="Q69" s="308"/>
      <c r="R69" s="308"/>
      <c r="S69" s="308"/>
      <c r="T69" s="12"/>
      <c r="U69" s="12"/>
      <c r="V69" s="317"/>
      <c r="W69" s="319"/>
    </row>
    <row r="70" spans="3:23" ht="6.95" customHeight="1">
      <c r="C70" s="298"/>
      <c r="D70" s="298"/>
      <c r="E70" s="298"/>
      <c r="F70" s="298"/>
      <c r="I70" s="299" t="s">
        <v>261</v>
      </c>
      <c r="J70" s="300"/>
      <c r="K70" s="303" t="s">
        <v>262</v>
      </c>
      <c r="L70" s="304"/>
      <c r="M70" s="307"/>
      <c r="N70" s="308"/>
      <c r="O70" s="308"/>
      <c r="P70" s="308"/>
      <c r="Q70" s="308"/>
      <c r="R70" s="308"/>
      <c r="S70" s="308"/>
      <c r="T70" s="12"/>
      <c r="U70" s="12"/>
      <c r="V70" s="294" t="s">
        <v>160</v>
      </c>
      <c r="W70" s="296"/>
    </row>
    <row r="71" spans="3:23" ht="14.1" customHeight="1" thickBot="1">
      <c r="C71" s="72" t="s">
        <v>161</v>
      </c>
      <c r="D71" s="73"/>
      <c r="E71" s="72"/>
      <c r="F71" s="72"/>
      <c r="I71" s="301"/>
      <c r="J71" s="302"/>
      <c r="K71" s="305"/>
      <c r="L71" s="306"/>
      <c r="M71" s="309"/>
      <c r="N71" s="310"/>
      <c r="O71" s="310"/>
      <c r="P71" s="310"/>
      <c r="Q71" s="310"/>
      <c r="R71" s="310"/>
      <c r="S71" s="310"/>
      <c r="T71" s="22"/>
      <c r="U71" s="22"/>
      <c r="V71" s="295"/>
      <c r="W71" s="297"/>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41" t="e">
        <f>VLOOKUP(AA2,#REF!,11,0)</f>
        <v>#REF!</v>
      </c>
      <c r="L3" s="442"/>
      <c r="M3" s="443"/>
      <c r="N3" s="450" t="e">
        <f>VLOOKUP(AA2,#REF!,4,0)</f>
        <v>#REF!</v>
      </c>
      <c r="O3" s="451"/>
      <c r="P3" s="451"/>
      <c r="Q3" s="451"/>
      <c r="R3" s="452"/>
      <c r="S3" s="189" t="e">
        <f>VLOOKUP(AA2,#REF!,5,0)</f>
        <v>#REF!</v>
      </c>
      <c r="T3" s="181"/>
      <c r="U3" s="18"/>
    </row>
    <row r="4" spans="2:27" ht="15.95" customHeight="1" thickBot="1">
      <c r="E4" s="177"/>
      <c r="F4" s="177"/>
      <c r="G4" s="177"/>
      <c r="H4" s="177"/>
      <c r="I4" s="177"/>
      <c r="K4" s="11" t="s">
        <v>4</v>
      </c>
      <c r="L4" s="138"/>
      <c r="M4" s="138"/>
      <c r="N4" s="83" t="s">
        <v>523</v>
      </c>
      <c r="O4" s="182"/>
      <c r="P4" s="453"/>
      <c r="Q4" s="453"/>
      <c r="R4" s="454"/>
      <c r="S4" s="16" t="s">
        <v>518</v>
      </c>
      <c r="T4" s="181"/>
      <c r="U4" s="18"/>
    </row>
    <row r="5" spans="2:27" ht="25.5" customHeight="1" thickTop="1" thickBot="1">
      <c r="B5" s="402" t="s">
        <v>5</v>
      </c>
      <c r="C5" s="402"/>
      <c r="E5" s="180"/>
      <c r="F5" s="177" t="s">
        <v>517</v>
      </c>
      <c r="G5" s="179"/>
      <c r="H5" s="178"/>
      <c r="I5" s="177" t="s">
        <v>516</v>
      </c>
      <c r="J5" s="8"/>
      <c r="K5" s="444" t="e">
        <f>VLOOKUP(AA2,#REF!,12,0)</f>
        <v>#REF!</v>
      </c>
      <c r="L5" s="445"/>
      <c r="M5" s="446"/>
      <c r="N5" s="447" t="e">
        <f>VLOOKUP(AA2,#REF!,9,0)</f>
        <v>#REF!</v>
      </c>
      <c r="O5" s="448"/>
      <c r="P5" s="448"/>
      <c r="Q5" s="448"/>
      <c r="R5" s="449"/>
      <c r="S5" s="190" t="e">
        <f>VLOOKUP(AA2,#REF!,7,0)</f>
        <v>#REF!</v>
      </c>
      <c r="T5" s="176"/>
      <c r="U5" s="26"/>
    </row>
    <row r="6" spans="2:27" ht="17.100000000000001" customHeight="1" thickBot="1">
      <c r="B6" s="27" t="s">
        <v>7</v>
      </c>
      <c r="C6" s="27"/>
    </row>
    <row r="7" spans="2:27" ht="18" customHeight="1" thickBot="1">
      <c r="B7" s="406" t="s">
        <v>8</v>
      </c>
      <c r="C7" s="407"/>
      <c r="D7" s="408" t="s">
        <v>9</v>
      </c>
      <c r="E7" s="409"/>
      <c r="F7" s="407"/>
      <c r="G7" s="30"/>
      <c r="H7" s="12"/>
      <c r="K7" s="28" t="s">
        <v>8</v>
      </c>
      <c r="L7" s="187" t="s">
        <v>9</v>
      </c>
      <c r="M7" s="4"/>
      <c r="N7" s="115"/>
      <c r="R7" s="28" t="s">
        <v>8</v>
      </c>
      <c r="S7" s="7" t="s">
        <v>9</v>
      </c>
      <c r="T7" s="30"/>
      <c r="U7" s="160"/>
      <c r="V7" s="160"/>
      <c r="W7" s="160"/>
      <c r="X7" s="160"/>
    </row>
    <row r="8" spans="2:27" ht="18" customHeight="1" thickTop="1">
      <c r="B8" s="342" t="s">
        <v>69</v>
      </c>
      <c r="C8" s="343"/>
      <c r="D8" s="410"/>
      <c r="E8" s="410"/>
      <c r="F8" s="410"/>
      <c r="G8" s="18"/>
      <c r="H8" s="12"/>
      <c r="K8" s="31"/>
      <c r="L8" s="36" t="s">
        <v>45</v>
      </c>
      <c r="M8" s="54"/>
      <c r="N8" s="170"/>
      <c r="R8" s="31" t="s">
        <v>76</v>
      </c>
      <c r="S8" s="12"/>
      <c r="T8" s="18"/>
      <c r="U8" s="160"/>
      <c r="V8" s="161"/>
      <c r="W8" s="160"/>
      <c r="X8" s="160"/>
    </row>
    <row r="9" spans="2:27" ht="18" customHeight="1" thickBot="1">
      <c r="B9" s="313"/>
      <c r="C9" s="325"/>
      <c r="D9" s="325"/>
      <c r="E9" s="325"/>
      <c r="F9" s="325"/>
      <c r="G9" s="18"/>
      <c r="H9" s="12"/>
      <c r="K9" s="46"/>
      <c r="L9" s="17"/>
      <c r="M9" s="64"/>
      <c r="N9" s="168"/>
      <c r="R9" s="46"/>
      <c r="S9" s="40"/>
      <c r="T9" s="143"/>
      <c r="U9" s="160"/>
      <c r="V9" s="160"/>
      <c r="W9" s="160"/>
      <c r="X9" s="160"/>
    </row>
    <row r="10" spans="2:27" ht="18" customHeight="1" thickTop="1">
      <c r="B10" s="344" t="s">
        <v>515</v>
      </c>
      <c r="C10" s="345"/>
      <c r="D10" s="363" t="s">
        <v>81</v>
      </c>
      <c r="E10" s="383"/>
      <c r="F10" s="383"/>
      <c r="G10" s="167"/>
      <c r="H10" s="160"/>
      <c r="K10" s="31" t="s">
        <v>75</v>
      </c>
      <c r="L10" s="35"/>
      <c r="M10" s="35"/>
      <c r="N10" s="18"/>
      <c r="R10" s="45" t="s">
        <v>98</v>
      </c>
      <c r="S10" s="51" t="s">
        <v>99</v>
      </c>
      <c r="T10" s="167"/>
      <c r="U10" s="160"/>
      <c r="V10" s="160"/>
      <c r="W10" s="160"/>
      <c r="X10" s="160"/>
    </row>
    <row r="11" spans="2:27" ht="18" customHeight="1">
      <c r="B11" s="313"/>
      <c r="C11" s="314"/>
      <c r="D11" s="366"/>
      <c r="E11" s="325"/>
      <c r="F11" s="325"/>
      <c r="G11" s="169"/>
      <c r="H11" s="160"/>
      <c r="K11" s="46"/>
      <c r="L11" s="40"/>
      <c r="M11" s="40"/>
      <c r="N11" s="143"/>
      <c r="R11" s="42"/>
      <c r="S11" s="52"/>
      <c r="T11" s="169"/>
      <c r="U11" s="160"/>
      <c r="V11" s="160"/>
      <c r="W11" s="160"/>
      <c r="X11" s="160"/>
    </row>
    <row r="12" spans="2:27" ht="18" customHeight="1">
      <c r="B12" s="344" t="s">
        <v>87</v>
      </c>
      <c r="C12" s="345"/>
      <c r="D12" s="363" t="s">
        <v>88</v>
      </c>
      <c r="E12" s="383"/>
      <c r="F12" s="345"/>
      <c r="G12" s="167"/>
      <c r="H12" s="160"/>
      <c r="K12" s="44" t="s">
        <v>433</v>
      </c>
      <c r="L12" s="363" t="s">
        <v>82</v>
      </c>
      <c r="M12" s="345"/>
      <c r="N12" s="167"/>
      <c r="R12" s="11"/>
      <c r="S12" s="35"/>
      <c r="T12" s="18"/>
      <c r="U12" s="160"/>
      <c r="V12" s="160"/>
      <c r="W12" s="160"/>
      <c r="X12" s="160"/>
    </row>
    <row r="13" spans="2:27" ht="18" customHeight="1">
      <c r="B13" s="322"/>
      <c r="C13" s="411"/>
      <c r="D13" s="365"/>
      <c r="E13" s="323"/>
      <c r="F13" s="323"/>
      <c r="G13" s="166"/>
      <c r="H13" s="160"/>
      <c r="K13" s="11"/>
      <c r="L13" s="355"/>
      <c r="M13" s="413"/>
      <c r="N13" s="169"/>
      <c r="R13" s="11"/>
      <c r="S13" s="40"/>
      <c r="T13" s="143"/>
      <c r="U13" s="160"/>
      <c r="V13" s="160"/>
      <c r="W13" s="160"/>
      <c r="X13" s="160"/>
    </row>
    <row r="14" spans="2:27" ht="18" customHeight="1">
      <c r="B14" s="322"/>
      <c r="C14" s="411"/>
      <c r="D14" s="363" t="s">
        <v>81</v>
      </c>
      <c r="E14" s="383"/>
      <c r="F14" s="345"/>
      <c r="G14" s="167"/>
      <c r="H14" s="160"/>
      <c r="K14" s="11"/>
      <c r="L14" s="36" t="s">
        <v>513</v>
      </c>
      <c r="M14" s="36"/>
      <c r="N14" s="167"/>
      <c r="R14" s="45" t="s">
        <v>514</v>
      </c>
      <c r="S14" s="51" t="s">
        <v>91</v>
      </c>
      <c r="T14" s="166"/>
      <c r="U14" s="160"/>
      <c r="V14" s="160"/>
      <c r="W14" s="160"/>
      <c r="X14" s="160"/>
    </row>
    <row r="15" spans="2:27" ht="18" customHeight="1" thickBot="1">
      <c r="B15" s="313"/>
      <c r="C15" s="314"/>
      <c r="D15" s="366"/>
      <c r="E15" s="325"/>
      <c r="F15" s="325"/>
      <c r="G15" s="169"/>
      <c r="H15" s="160"/>
      <c r="K15" s="11"/>
      <c r="L15" s="41" t="s">
        <v>90</v>
      </c>
      <c r="M15" s="40"/>
      <c r="N15" s="166"/>
      <c r="R15" s="42"/>
      <c r="S15" s="41"/>
      <c r="T15" s="166"/>
      <c r="U15" s="160"/>
      <c r="V15" s="160"/>
      <c r="W15" s="160"/>
      <c r="X15" s="160"/>
    </row>
    <row r="16" spans="2:27" ht="18" customHeight="1" thickTop="1">
      <c r="B16" s="344" t="s">
        <v>94</v>
      </c>
      <c r="C16" s="345"/>
      <c r="D16" s="363" t="s">
        <v>95</v>
      </c>
      <c r="E16" s="383"/>
      <c r="F16" s="345"/>
      <c r="G16" s="166"/>
      <c r="H16" s="160"/>
      <c r="K16" s="11"/>
      <c r="L16" s="36" t="s">
        <v>513</v>
      </c>
      <c r="M16" s="12"/>
      <c r="N16" s="170"/>
      <c r="R16" s="11"/>
      <c r="S16" s="35"/>
      <c r="T16" s="99"/>
      <c r="U16" s="160"/>
      <c r="V16" s="160"/>
      <c r="W16" s="160"/>
      <c r="X16" s="160"/>
    </row>
    <row r="17" spans="2:24" ht="18" customHeight="1" thickBot="1">
      <c r="B17" s="322"/>
      <c r="C17" s="411"/>
      <c r="D17" s="366"/>
      <c r="E17" s="325"/>
      <c r="F17" s="314"/>
      <c r="G17" s="166"/>
      <c r="H17" s="160"/>
      <c r="K17" s="11"/>
      <c r="L17" s="41" t="s">
        <v>92</v>
      </c>
      <c r="M17" s="40"/>
      <c r="N17" s="168"/>
      <c r="R17" s="11"/>
      <c r="S17" s="40"/>
      <c r="T17" s="143"/>
      <c r="U17" s="160"/>
      <c r="V17" s="160"/>
      <c r="W17" s="160"/>
      <c r="X17" s="160"/>
    </row>
    <row r="18" spans="2:24" ht="18" customHeight="1" thickTop="1">
      <c r="B18" s="344" t="s">
        <v>512</v>
      </c>
      <c r="C18" s="345"/>
      <c r="D18" s="363" t="s">
        <v>511</v>
      </c>
      <c r="E18" s="383"/>
      <c r="F18" s="345"/>
      <c r="G18" s="167"/>
      <c r="H18" s="160"/>
      <c r="K18" s="11"/>
      <c r="L18" s="36" t="s">
        <v>510</v>
      </c>
      <c r="M18" s="12"/>
      <c r="N18" s="170"/>
      <c r="R18" s="45" t="s">
        <v>111</v>
      </c>
      <c r="S18" s="51" t="s">
        <v>117</v>
      </c>
      <c r="T18" s="167"/>
      <c r="U18" s="160"/>
      <c r="V18" s="160"/>
      <c r="W18" s="160"/>
      <c r="X18" s="160"/>
    </row>
    <row r="19" spans="2:24" ht="18" customHeight="1" thickBot="1">
      <c r="B19" s="322"/>
      <c r="C19" s="411"/>
      <c r="D19" s="366"/>
      <c r="E19" s="325"/>
      <c r="F19" s="314"/>
      <c r="G19" s="166"/>
      <c r="H19" s="160"/>
      <c r="K19" s="11"/>
      <c r="L19" s="41" t="s">
        <v>102</v>
      </c>
      <c r="M19" s="40"/>
      <c r="N19" s="168"/>
      <c r="R19" s="42"/>
      <c r="S19" s="52"/>
      <c r="T19" s="166"/>
      <c r="U19" s="160"/>
      <c r="V19" s="160"/>
      <c r="W19" s="160"/>
      <c r="X19" s="160"/>
    </row>
    <row r="20" spans="2:24" ht="18" customHeight="1" thickTop="1">
      <c r="B20" s="322"/>
      <c r="C20" s="411"/>
      <c r="D20" s="363" t="s">
        <v>118</v>
      </c>
      <c r="E20" s="383"/>
      <c r="F20" s="394"/>
      <c r="G20" s="170"/>
      <c r="H20" s="160"/>
      <c r="K20" s="11"/>
      <c r="L20" s="36" t="s">
        <v>509</v>
      </c>
      <c r="M20" s="12"/>
      <c r="N20" s="170"/>
      <c r="R20" s="11"/>
      <c r="S20" s="35"/>
      <c r="T20" s="99"/>
      <c r="U20" s="160"/>
      <c r="V20" s="160"/>
      <c r="W20" s="160"/>
      <c r="X20" s="160"/>
    </row>
    <row r="21" spans="2:24" ht="18" customHeight="1" thickBot="1">
      <c r="B21" s="313"/>
      <c r="C21" s="314"/>
      <c r="D21" s="366"/>
      <c r="E21" s="325"/>
      <c r="F21" s="367"/>
      <c r="G21" s="168"/>
      <c r="H21" s="160"/>
      <c r="K21" s="46"/>
      <c r="L21" s="41"/>
      <c r="M21" s="40"/>
      <c r="N21" s="168"/>
      <c r="R21" s="11"/>
      <c r="S21" s="40"/>
      <c r="T21" s="175"/>
      <c r="U21" s="160"/>
      <c r="V21" s="160"/>
      <c r="W21" s="160"/>
      <c r="X21" s="160"/>
    </row>
    <row r="22" spans="2:24" ht="18" customHeight="1" thickTop="1">
      <c r="B22" s="344" t="s">
        <v>508</v>
      </c>
      <c r="C22" s="345"/>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12" t="s">
        <v>507</v>
      </c>
      <c r="C23" s="413"/>
      <c r="D23" s="355"/>
      <c r="E23" s="414"/>
      <c r="F23" s="356"/>
      <c r="G23" s="168"/>
      <c r="H23" s="160"/>
      <c r="K23" s="46"/>
      <c r="L23" s="40"/>
      <c r="M23" s="40"/>
      <c r="N23" s="48"/>
      <c r="R23" s="38"/>
      <c r="S23" s="41"/>
      <c r="T23" s="168"/>
      <c r="U23" s="160"/>
      <c r="V23" s="160"/>
      <c r="W23" s="160"/>
      <c r="X23" s="160"/>
    </row>
    <row r="24" spans="2:24" ht="18" customHeight="1" thickTop="1">
      <c r="B24" s="44" t="s">
        <v>506</v>
      </c>
      <c r="C24" s="53"/>
      <c r="D24" s="363" t="s">
        <v>138</v>
      </c>
      <c r="E24" s="383"/>
      <c r="F24" s="383"/>
      <c r="G24" s="173"/>
      <c r="H24" s="160"/>
      <c r="K24" s="44" t="s">
        <v>505</v>
      </c>
      <c r="L24" s="36" t="s">
        <v>115</v>
      </c>
      <c r="M24" s="53"/>
      <c r="N24" s="167"/>
      <c r="R24" s="38"/>
      <c r="S24" s="36" t="s">
        <v>504</v>
      </c>
      <c r="T24" s="170"/>
      <c r="U24" s="160"/>
      <c r="V24" s="160"/>
      <c r="W24" s="160"/>
      <c r="X24" s="160"/>
    </row>
    <row r="25" spans="2:24" ht="18" customHeight="1" thickBot="1">
      <c r="B25" s="11"/>
      <c r="C25" s="13"/>
      <c r="D25" s="366"/>
      <c r="E25" s="325"/>
      <c r="F25" s="325"/>
      <c r="G25" s="172"/>
      <c r="H25" s="160"/>
      <c r="K25" s="11"/>
      <c r="L25" s="41"/>
      <c r="M25" s="13"/>
      <c r="N25" s="166"/>
      <c r="R25" s="38"/>
      <c r="S25" s="41"/>
      <c r="T25" s="168"/>
      <c r="U25" s="160"/>
      <c r="V25" s="160"/>
      <c r="W25" s="160"/>
      <c r="X25" s="160"/>
    </row>
    <row r="26" spans="2:24" ht="18" customHeight="1" thickTop="1">
      <c r="B26" s="45" t="s">
        <v>503</v>
      </c>
      <c r="C26" s="35"/>
      <c r="D26" s="363" t="s">
        <v>12</v>
      </c>
      <c r="E26" s="383"/>
      <c r="F26" s="345"/>
      <c r="G26" s="166"/>
      <c r="H26" s="160"/>
      <c r="K26" s="11"/>
      <c r="L26" s="122" t="s">
        <v>119</v>
      </c>
      <c r="M26" s="129"/>
      <c r="N26" s="170"/>
      <c r="R26" s="44"/>
      <c r="S26" s="35"/>
      <c r="T26" s="99"/>
      <c r="U26" s="160"/>
      <c r="V26" s="160"/>
      <c r="W26" s="160"/>
      <c r="X26" s="160"/>
    </row>
    <row r="27" spans="2:24" ht="18" customHeight="1" thickBot="1">
      <c r="B27" s="11" t="s">
        <v>502</v>
      </c>
      <c r="C27" s="13"/>
      <c r="D27" s="366"/>
      <c r="E27" s="325"/>
      <c r="F27" s="314"/>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20"/>
      <c r="E38" s="420"/>
      <c r="F38" s="420"/>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18" t="s">
        <v>498</v>
      </c>
      <c r="K41" s="419"/>
      <c r="L41" s="419"/>
      <c r="M41" s="419"/>
      <c r="N41" s="419"/>
      <c r="O41" s="419"/>
      <c r="P41" s="154"/>
      <c r="Q41" s="4"/>
      <c r="R41" s="433" t="s">
        <v>148</v>
      </c>
      <c r="S41" s="435"/>
      <c r="T41" s="436"/>
      <c r="V41" s="12"/>
      <c r="W41" s="138"/>
    </row>
    <row r="42" spans="1:24" ht="13.5" customHeight="1">
      <c r="A42" s="152" t="s">
        <v>497</v>
      </c>
      <c r="B42" s="153" t="s">
        <v>496</v>
      </c>
      <c r="C42" s="153" t="s">
        <v>495</v>
      </c>
      <c r="D42" s="150" t="s">
        <v>494</v>
      </c>
      <c r="F42" s="149"/>
      <c r="G42" s="138"/>
      <c r="H42" s="138"/>
      <c r="I42" s="18"/>
      <c r="J42" s="191"/>
      <c r="K42" s="421" t="e">
        <f>VLOOKUP(AA2,#REF!,12,0)</f>
        <v>#REF!</v>
      </c>
      <c r="L42" s="421"/>
      <c r="M42" s="421"/>
      <c r="N42" s="421"/>
      <c r="O42" s="421"/>
      <c r="P42" s="421"/>
      <c r="Q42" s="422"/>
      <c r="R42" s="434"/>
      <c r="S42" s="437"/>
      <c r="T42" s="438"/>
      <c r="V42" s="12"/>
      <c r="W42" s="138"/>
    </row>
    <row r="43" spans="1:24" ht="13.5" customHeight="1">
      <c r="A43" s="152" t="s">
        <v>493</v>
      </c>
      <c r="B43" s="153" t="s">
        <v>492</v>
      </c>
      <c r="C43" s="153" t="s">
        <v>491</v>
      </c>
      <c r="D43" s="150" t="s">
        <v>490</v>
      </c>
      <c r="F43" s="149"/>
      <c r="G43" s="138"/>
      <c r="H43" s="138"/>
      <c r="I43" s="18"/>
      <c r="J43" s="191"/>
      <c r="K43" s="421"/>
      <c r="L43" s="421"/>
      <c r="M43" s="421"/>
      <c r="N43" s="421"/>
      <c r="O43" s="421"/>
      <c r="P43" s="421"/>
      <c r="Q43" s="422"/>
      <c r="R43" s="434"/>
      <c r="S43" s="437"/>
      <c r="T43" s="438"/>
      <c r="V43" s="12"/>
      <c r="W43" s="138"/>
    </row>
    <row r="44" spans="1:24" ht="13.5" customHeight="1">
      <c r="A44" s="152" t="s">
        <v>489</v>
      </c>
      <c r="B44" s="153" t="s">
        <v>488</v>
      </c>
      <c r="C44" s="153" t="s">
        <v>487</v>
      </c>
      <c r="D44" s="150" t="s">
        <v>486</v>
      </c>
      <c r="F44" s="149"/>
      <c r="G44" s="138"/>
      <c r="H44" s="138"/>
      <c r="I44" s="18"/>
      <c r="J44" s="191"/>
      <c r="K44" s="421"/>
      <c r="L44" s="421"/>
      <c r="M44" s="421"/>
      <c r="N44" s="421"/>
      <c r="O44" s="421"/>
      <c r="P44" s="421"/>
      <c r="Q44" s="422"/>
      <c r="R44" s="430"/>
      <c r="S44" s="439"/>
      <c r="T44" s="440"/>
      <c r="V44" s="12"/>
      <c r="W44" s="138"/>
    </row>
    <row r="45" spans="1:24" ht="13.5" customHeight="1">
      <c r="A45" s="152" t="s">
        <v>485</v>
      </c>
      <c r="B45" s="151" t="s">
        <v>484</v>
      </c>
      <c r="C45" s="151" t="s">
        <v>483</v>
      </c>
      <c r="D45" s="150" t="s">
        <v>482</v>
      </c>
      <c r="F45" s="149"/>
      <c r="G45" s="138"/>
      <c r="H45" s="138"/>
      <c r="I45" s="18"/>
      <c r="J45" s="191"/>
      <c r="K45" s="421" t="e">
        <f>VLOOKUP(AA2,#REF!,11,0)</f>
        <v>#REF!</v>
      </c>
      <c r="L45" s="421"/>
      <c r="M45" s="421"/>
      <c r="N45" s="421"/>
      <c r="O45" s="421"/>
      <c r="P45" s="421"/>
      <c r="Q45" s="422"/>
      <c r="R45" s="429" t="s">
        <v>152</v>
      </c>
      <c r="S45" s="303" t="s">
        <v>478</v>
      </c>
      <c r="T45" s="148"/>
      <c r="V45" s="12"/>
      <c r="W45" s="138"/>
    </row>
    <row r="46" spans="1:24" ht="13.5" customHeight="1" thickBot="1">
      <c r="A46" s="147" t="s">
        <v>481</v>
      </c>
      <c r="B46" s="146"/>
      <c r="C46" s="145"/>
      <c r="D46" s="144"/>
      <c r="F46" s="415" t="s">
        <v>480</v>
      </c>
      <c r="G46" s="416"/>
      <c r="H46" s="416"/>
      <c r="I46" s="417"/>
      <c r="J46" s="191"/>
      <c r="K46" s="421"/>
      <c r="L46" s="421"/>
      <c r="M46" s="421"/>
      <c r="N46" s="421"/>
      <c r="O46" s="421"/>
      <c r="P46" s="421"/>
      <c r="Q46" s="422"/>
      <c r="R46" s="430"/>
      <c r="S46" s="315"/>
      <c r="T46" s="143"/>
      <c r="V46" s="12"/>
      <c r="W46" s="138"/>
    </row>
    <row r="47" spans="1:24" ht="10.5" customHeight="1">
      <c r="A47" s="188"/>
      <c r="B47" s="188"/>
      <c r="C47" s="188"/>
      <c r="D47" s="188"/>
      <c r="F47" s="423" t="s">
        <v>479</v>
      </c>
      <c r="G47" s="425" t="s">
        <v>259</v>
      </c>
      <c r="H47" s="425"/>
      <c r="I47" s="426"/>
      <c r="J47" s="191"/>
      <c r="K47" s="421"/>
      <c r="L47" s="421"/>
      <c r="M47" s="421"/>
      <c r="N47" s="421"/>
      <c r="O47" s="421"/>
      <c r="P47" s="421"/>
      <c r="Q47" s="422"/>
      <c r="R47" s="429" t="s">
        <v>157</v>
      </c>
      <c r="S47" s="373" t="s">
        <v>525</v>
      </c>
      <c r="T47" s="99"/>
      <c r="V47" s="12"/>
      <c r="W47" s="138"/>
    </row>
    <row r="48" spans="1:24" ht="9.75" customHeight="1">
      <c r="F48" s="424"/>
      <c r="G48" s="427"/>
      <c r="H48" s="427"/>
      <c r="I48" s="428"/>
      <c r="J48" s="191"/>
      <c r="K48" s="421" t="e">
        <f>VLOOKUP(AA2,#REF!,13,0)</f>
        <v>#REF!</v>
      </c>
      <c r="L48" s="421"/>
      <c r="M48" s="421"/>
      <c r="N48" s="421"/>
      <c r="O48" s="421"/>
      <c r="P48" s="421"/>
      <c r="Q48" s="422"/>
      <c r="R48" s="430"/>
      <c r="S48" s="366"/>
      <c r="T48" s="143"/>
      <c r="V48" s="12"/>
      <c r="W48" s="138"/>
    </row>
    <row r="49" spans="6:23" ht="24" customHeight="1" thickBot="1">
      <c r="F49" s="142" t="s">
        <v>261</v>
      </c>
      <c r="G49" s="403" t="s">
        <v>262</v>
      </c>
      <c r="H49" s="404"/>
      <c r="I49" s="405"/>
      <c r="J49" s="192"/>
      <c r="K49" s="431"/>
      <c r="L49" s="431"/>
      <c r="M49" s="431"/>
      <c r="N49" s="431"/>
      <c r="O49" s="431"/>
      <c r="P49" s="431"/>
      <c r="Q49" s="432"/>
      <c r="R49" s="141" t="s">
        <v>160</v>
      </c>
      <c r="S49" s="140" t="s">
        <v>477</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1823</v>
      </c>
      <c r="C11" s="257" t="s">
        <v>1808</v>
      </c>
      <c r="D11" s="257" t="s">
        <v>1809</v>
      </c>
      <c r="E11" s="257" t="s">
        <v>1810</v>
      </c>
      <c r="F11" s="257" t="s">
        <v>1811</v>
      </c>
    </row>
    <row r="13" spans="1:6" ht="42" customHeight="1">
      <c r="A13" s="257" t="s">
        <v>1812</v>
      </c>
      <c r="B13" s="257" t="s">
        <v>1813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2014-12-29T04:10:53Z</dcterms:modified>
</cp:coreProperties>
</file>