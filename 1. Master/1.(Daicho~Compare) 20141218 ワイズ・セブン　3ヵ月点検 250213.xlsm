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345" yWindow="-240" windowWidth="20610" windowHeight="11640"/>
  </bookViews>
  <sheets>
    <sheet name="車両一覧" sheetId="3" r:id="rId1"/>
    <sheet name="点検日" sheetId="4" r:id="rId2"/>
    <sheet name="トラクタ、トラック" sheetId="6" r:id="rId3"/>
    <sheet name="被牽引車" sheetId="7" r:id="rId4"/>
    <sheet name="被けん引車２" sheetId="9" r:id="rId5"/>
  </sheets>
  <definedNames>
    <definedName name="_xlnm._FilterDatabase" localSheetId="0" hidden="1">車両一覧!$B$1:$Q$108</definedName>
    <definedName name="_xlnm.Print_Area" localSheetId="2">'トラクタ、トラック'!$A$1:$V$71</definedName>
    <definedName name="_xlnm.Print_Area" localSheetId="4">被けん引車２!$A$1:$U$50</definedName>
    <definedName name="_xlnm.Print_Area" localSheetId="3">被牽引車!$A$1:$X$71</definedName>
  </definedNames>
  <calcPr calcId="125725"/>
</workbook>
</file>

<file path=xl/calcChain.xml><?xml version="1.0" encoding="utf-8"?>
<calcChain xmlns="http://schemas.openxmlformats.org/spreadsheetml/2006/main">
  <c r="E91" i="3"/>
  <c r="E92"/>
  <c r="E93"/>
  <c r="E94"/>
  <c r="E95"/>
  <c r="E96"/>
  <c r="E97"/>
  <c r="E98"/>
  <c r="E99"/>
  <c r="E100"/>
  <c r="E101"/>
  <c r="E102"/>
  <c r="E103"/>
  <c r="E104"/>
  <c r="E105"/>
  <c r="E106"/>
  <c r="E107"/>
  <c r="E108"/>
  <c r="E90"/>
  <c r="E89"/>
  <c r="E3"/>
  <c r="E87"/>
  <c r="E86"/>
  <c r="E85"/>
  <c r="K48" i="9"/>
  <c r="K45"/>
  <c r="K42"/>
  <c r="S5"/>
  <c r="S3"/>
  <c r="N3"/>
  <c r="N5"/>
  <c r="K5"/>
  <c r="M4" i="6"/>
  <c r="N4" i="7"/>
  <c r="K3" i="9"/>
  <c r="R2" i="7"/>
  <c r="R4"/>
  <c r="M68"/>
  <c r="N66"/>
  <c r="V4"/>
  <c r="W2"/>
  <c r="V2"/>
  <c r="N2"/>
  <c r="P68" i="6"/>
  <c r="M68"/>
  <c r="M66"/>
  <c r="U2"/>
  <c r="T4"/>
  <c r="T2"/>
  <c r="Q4"/>
  <c r="M2"/>
  <c r="E84" i="3"/>
  <c r="E83"/>
  <c r="E82"/>
  <c r="E81"/>
  <c r="E80"/>
  <c r="E79"/>
  <c r="E78"/>
  <c r="E77"/>
  <c r="E76"/>
  <c r="E75"/>
  <c r="E74"/>
  <c r="E73"/>
  <c r="E72"/>
  <c r="E71"/>
  <c r="E70"/>
  <c r="E69"/>
  <c r="E68"/>
  <c r="E67"/>
  <c r="E66"/>
  <c r="E65"/>
  <c r="E64"/>
  <c r="E63"/>
  <c r="E62"/>
  <c r="E61"/>
  <c r="E60"/>
  <c r="E59"/>
  <c r="E58"/>
  <c r="E57"/>
  <c r="E56"/>
  <c r="E55"/>
  <c r="E54"/>
  <c r="E53"/>
  <c r="Q2" i="6"/>
  <c r="E52" i="3"/>
  <c r="E51"/>
  <c r="E50"/>
  <c r="E49"/>
  <c r="E48"/>
  <c r="E47"/>
  <c r="E46"/>
  <c r="E45"/>
  <c r="E44"/>
  <c r="E43"/>
  <c r="E42"/>
  <c r="E41"/>
  <c r="E40"/>
  <c r="E39"/>
  <c r="E38"/>
  <c r="E37"/>
  <c r="E36"/>
  <c r="E35"/>
  <c r="E34"/>
  <c r="E33"/>
  <c r="E32"/>
  <c r="E31"/>
  <c r="E30"/>
</calcChain>
</file>

<file path=xl/sharedStrings.xml><?xml version="1.0" encoding="utf-8"?>
<sst xmlns="http://schemas.openxmlformats.org/spreadsheetml/2006/main" count="1841" uniqueCount="830">
  <si>
    <t>事業用自動車等</t>
    <rPh sb="0" eb="3">
      <t>ジギョウヨウ</t>
    </rPh>
    <rPh sb="3" eb="6">
      <t>ジドウシャ</t>
    </rPh>
    <rPh sb="6" eb="7">
      <t>トウ</t>
    </rPh>
    <phoneticPr fontId="1"/>
  </si>
  <si>
    <t>使用者の氏名又は名称</t>
    <rPh sb="0" eb="3">
      <t>シヨウシャ</t>
    </rPh>
    <rPh sb="4" eb="6">
      <t>シメイ</t>
    </rPh>
    <rPh sb="6" eb="7">
      <t>マタ</t>
    </rPh>
    <rPh sb="8" eb="10">
      <t>メイショウ</t>
    </rPh>
    <phoneticPr fontId="1"/>
  </si>
  <si>
    <t>点検整備記録簿(分解整備記録簿写)</t>
    <rPh sb="0" eb="2">
      <t>テンケン</t>
    </rPh>
    <rPh sb="2" eb="4">
      <t>セイビ</t>
    </rPh>
    <rPh sb="4" eb="7">
      <t>キロクボ</t>
    </rPh>
    <phoneticPr fontId="1"/>
  </si>
  <si>
    <t>・・・　３か月</t>
    <rPh sb="6" eb="7">
      <t>ゲツ</t>
    </rPh>
    <phoneticPr fontId="1"/>
  </si>
  <si>
    <t>住  所</t>
    <rPh sb="0" eb="4">
      <t>ジュウショ</t>
    </rPh>
    <phoneticPr fontId="1"/>
  </si>
  <si>
    <t>か月点検整備</t>
    <rPh sb="1" eb="2">
      <t>ゲツ</t>
    </rPh>
    <rPh sb="2" eb="4">
      <t>テンケン</t>
    </rPh>
    <rPh sb="4" eb="6">
      <t>セイビ</t>
    </rPh>
    <phoneticPr fontId="1"/>
  </si>
  <si>
    <t>・・・１２か月</t>
    <rPh sb="6" eb="7">
      <t>ゲツ</t>
    </rPh>
    <phoneticPr fontId="1"/>
  </si>
  <si>
    <t>点検の結果及び整備の概要</t>
    <rPh sb="0" eb="2">
      <t>テンケン</t>
    </rPh>
    <rPh sb="3" eb="5">
      <t>ケッカ</t>
    </rPh>
    <rPh sb="5" eb="6">
      <t>オヨ</t>
    </rPh>
    <rPh sb="7" eb="9">
      <t>セイビ</t>
    </rPh>
    <rPh sb="10" eb="12">
      <t>ガイヨウ</t>
    </rPh>
    <phoneticPr fontId="1"/>
  </si>
  <si>
    <t>点検箇所</t>
    <rPh sb="0" eb="2">
      <t>テンケン</t>
    </rPh>
    <rPh sb="2" eb="4">
      <t>カショ</t>
    </rPh>
    <phoneticPr fontId="1"/>
  </si>
  <si>
    <t>点検項目</t>
    <rPh sb="0" eb="2">
      <t>テンケン</t>
    </rPh>
    <rPh sb="2" eb="4">
      <t>コウモク</t>
    </rPh>
    <phoneticPr fontId="1"/>
  </si>
  <si>
    <t>・かじ取り装置</t>
    <rPh sb="3" eb="4">
      <t>ト</t>
    </rPh>
    <rPh sb="5" eb="7">
      <t>ソウチ</t>
    </rPh>
    <phoneticPr fontId="1"/>
  </si>
  <si>
    <t>ブレーキ・ドラム及び</t>
    <rPh sb="8" eb="9">
      <t>オヨ</t>
    </rPh>
    <phoneticPr fontId="1"/>
  </si>
  <si>
    <t>ドラムとライニングとのすき間</t>
    <rPh sb="13" eb="14">
      <t>マ</t>
    </rPh>
    <phoneticPr fontId="1"/>
  </si>
  <si>
    <t>レベリング・ﾊﾞﾙﾌﾞの機能</t>
    <rPh sb="12" eb="14">
      <t>キノウ</t>
    </rPh>
    <phoneticPr fontId="1"/>
  </si>
  <si>
    <t>・ばい煙、悪臭のあるガス、有害なガス等の発散防止装置</t>
    <rPh sb="3" eb="4">
      <t>エン</t>
    </rPh>
    <rPh sb="5" eb="7">
      <t>アクシュウ</t>
    </rPh>
    <rPh sb="13" eb="15">
      <t>ユウガイ</t>
    </rPh>
    <rPh sb="18" eb="19">
      <t>トウ</t>
    </rPh>
    <rPh sb="20" eb="22">
      <t>ハッサン</t>
    </rPh>
    <rPh sb="22" eb="24">
      <t>ボウシ</t>
    </rPh>
    <rPh sb="24" eb="26">
      <t>ソウチ</t>
    </rPh>
    <phoneticPr fontId="1"/>
  </si>
  <si>
    <t>操作具合</t>
    <rPh sb="0" eb="2">
      <t>ソウサ</t>
    </rPh>
    <rPh sb="2" eb="4">
      <t>グアイ</t>
    </rPh>
    <phoneticPr fontId="1"/>
  </si>
  <si>
    <t>シューの摺動部分、ライニン</t>
    <rPh sb="5" eb="6">
      <t>ドウ</t>
    </rPh>
    <rPh sb="6" eb="8">
      <t>ブブン</t>
    </rPh>
    <phoneticPr fontId="1"/>
  </si>
  <si>
    <t>油漏れ、損傷</t>
    <rPh sb="0" eb="1">
      <t>アブラ</t>
    </rPh>
    <rPh sb="1" eb="2">
      <t>モ</t>
    </rPh>
    <rPh sb="4" eb="6">
      <t>ソンショウ</t>
    </rPh>
    <phoneticPr fontId="1"/>
  </si>
  <si>
    <t>ブローバイ・ｶﾞｽ還元</t>
    <rPh sb="9" eb="11">
      <t>カンゲン</t>
    </rPh>
    <phoneticPr fontId="1"/>
  </si>
  <si>
    <t>メターリング・バルブの状態</t>
    <rPh sb="11" eb="13">
      <t>ジョウタイ</t>
    </rPh>
    <phoneticPr fontId="1"/>
  </si>
  <si>
    <t>グの磨耗(※)</t>
    <rPh sb="2" eb="4">
      <t>マモウ</t>
    </rPh>
    <phoneticPr fontId="1"/>
  </si>
  <si>
    <t>装置</t>
    <rPh sb="0" eb="2">
      <t>ソウチ</t>
    </rPh>
    <phoneticPr fontId="1"/>
  </si>
  <si>
    <t>油漏れ</t>
    <rPh sb="0" eb="1">
      <t>アブラ</t>
    </rPh>
    <rPh sb="1" eb="2">
      <t>モ</t>
    </rPh>
    <phoneticPr fontId="1"/>
  </si>
  <si>
    <t>ドラムの磨耗、損傷</t>
    <rPh sb="4" eb="6">
      <t>マモウ</t>
    </rPh>
    <rPh sb="7" eb="9">
      <t>ソンショウ</t>
    </rPh>
    <phoneticPr fontId="1"/>
  </si>
  <si>
    <t>・動力伝達装置</t>
    <rPh sb="1" eb="3">
      <t>ドウリョク</t>
    </rPh>
    <rPh sb="3" eb="5">
      <t>デンタツ</t>
    </rPh>
    <rPh sb="5" eb="7">
      <t>ソウチ</t>
    </rPh>
    <phoneticPr fontId="1"/>
  </si>
  <si>
    <t>配管の損傷</t>
    <rPh sb="0" eb="2">
      <t>ハイカン</t>
    </rPh>
    <rPh sb="3" eb="5">
      <t>ソンショウ</t>
    </rPh>
    <phoneticPr fontId="1"/>
  </si>
  <si>
    <t>取付の緩み</t>
    <rPh sb="0" eb="2">
      <t>トリツ</t>
    </rPh>
    <rPh sb="3" eb="4">
      <t>ユル</t>
    </rPh>
    <phoneticPr fontId="1"/>
  </si>
  <si>
    <t>バック・プレートの状態</t>
    <rPh sb="9" eb="11">
      <t>ジョウタイ</t>
    </rPh>
    <phoneticPr fontId="1"/>
  </si>
  <si>
    <t>ペダルの遊び、切れたときの</t>
    <rPh sb="4" eb="5">
      <t>アソ</t>
    </rPh>
    <rPh sb="7" eb="8">
      <t>キ</t>
    </rPh>
    <phoneticPr fontId="1"/>
  </si>
  <si>
    <t>燃料蒸発ガス排出</t>
    <rPh sb="0" eb="2">
      <t>ネンリョウ</t>
    </rPh>
    <rPh sb="2" eb="4">
      <t>ジョウハツ</t>
    </rPh>
    <rPh sb="6" eb="8">
      <t>ハイシュツ</t>
    </rPh>
    <phoneticPr fontId="1"/>
  </si>
  <si>
    <t>配管等の損傷</t>
    <rPh sb="0" eb="2">
      <t>ハイカン</t>
    </rPh>
    <rPh sb="2" eb="3">
      <t>トウ</t>
    </rPh>
    <rPh sb="4" eb="6">
      <t>ソンショウ</t>
    </rPh>
    <phoneticPr fontId="1"/>
  </si>
  <si>
    <t>床板とのすき間</t>
    <rPh sb="0" eb="2">
      <t>ユカイタ</t>
    </rPh>
    <rPh sb="6" eb="7">
      <t>スキマ</t>
    </rPh>
    <phoneticPr fontId="1"/>
  </si>
  <si>
    <t>抑止装置</t>
    <rPh sb="0" eb="2">
      <t>ヨクシ</t>
    </rPh>
    <rPh sb="2" eb="4">
      <t>ソウチ</t>
    </rPh>
    <phoneticPr fontId="1"/>
  </si>
  <si>
    <t>ロッド及びアーム類</t>
    <rPh sb="3" eb="4">
      <t>オヨ</t>
    </rPh>
    <rPh sb="8" eb="9">
      <t>ルイ</t>
    </rPh>
    <phoneticPr fontId="1"/>
  </si>
  <si>
    <t>緩み、がた、損傷(※)</t>
    <rPh sb="0" eb="1">
      <t>ユル</t>
    </rPh>
    <rPh sb="6" eb="8">
      <t>ソンショウ</t>
    </rPh>
    <phoneticPr fontId="1"/>
  </si>
  <si>
    <t>ディスクとパットとのすき間</t>
    <rPh sb="12" eb="13">
      <t>スキマ</t>
    </rPh>
    <phoneticPr fontId="1"/>
  </si>
  <si>
    <t>作用</t>
    <rPh sb="0" eb="2">
      <t>サヨウ</t>
    </rPh>
    <phoneticPr fontId="1"/>
  </si>
  <si>
    <t>チャコール・キャニスターの</t>
    <phoneticPr fontId="1"/>
  </si>
  <si>
    <t>及びパット</t>
    <rPh sb="0" eb="1">
      <t>オヨ</t>
    </rPh>
    <phoneticPr fontId="1"/>
  </si>
  <si>
    <t>詰まり、損傷</t>
    <rPh sb="0" eb="1">
      <t>ツ</t>
    </rPh>
    <rPh sb="4" eb="6">
      <t>ソンショウ</t>
    </rPh>
    <phoneticPr fontId="1"/>
  </si>
  <si>
    <t>パットの磨耗(※)</t>
    <rPh sb="4" eb="6">
      <t>マモウ</t>
    </rPh>
    <phoneticPr fontId="1"/>
  </si>
  <si>
    <t>液量</t>
    <rPh sb="0" eb="1">
      <t>エキ</t>
    </rPh>
    <rPh sb="1" eb="2">
      <t>リョウ</t>
    </rPh>
    <phoneticPr fontId="1"/>
  </si>
  <si>
    <t>チェック・バルブの機能</t>
    <rPh sb="9" eb="11">
      <t>キノウ</t>
    </rPh>
    <phoneticPr fontId="1"/>
  </si>
  <si>
    <t>ブーツの亀裂、損傷</t>
    <rPh sb="4" eb="6">
      <t>キレツ</t>
    </rPh>
    <rPh sb="7" eb="9">
      <t>ソンショウ</t>
    </rPh>
    <phoneticPr fontId="1"/>
  </si>
  <si>
    <t>連結部のがた(※)</t>
    <rPh sb="0" eb="2">
      <t>レンケツ</t>
    </rPh>
    <rPh sb="2" eb="3">
      <t>ブ</t>
    </rPh>
    <phoneticPr fontId="1"/>
  </si>
  <si>
    <t>ディスク磨耗、損傷</t>
    <rPh sb="4" eb="6">
      <t>マモウ</t>
    </rPh>
    <rPh sb="7" eb="9">
      <t>ソンショウ</t>
    </rPh>
    <phoneticPr fontId="1"/>
  </si>
  <si>
    <t>トランスミッション及び</t>
    <rPh sb="9" eb="10">
      <t>オヨ</t>
    </rPh>
    <phoneticPr fontId="1"/>
  </si>
  <si>
    <t>油漏れ、油量(※)</t>
    <rPh sb="0" eb="1">
      <t>アブラ</t>
    </rPh>
    <rPh sb="1" eb="2">
      <t>モ</t>
    </rPh>
    <rPh sb="4" eb="6">
      <t>ユリョウ</t>
    </rPh>
    <phoneticPr fontId="1"/>
  </si>
  <si>
    <t>一酸化炭素等発散</t>
    <rPh sb="0" eb="3">
      <t>イッサンカ</t>
    </rPh>
    <rPh sb="3" eb="5">
      <t>タンソ</t>
    </rPh>
    <rPh sb="5" eb="6">
      <t>トウ</t>
    </rPh>
    <rPh sb="6" eb="8">
      <t>ハッサン</t>
    </rPh>
    <phoneticPr fontId="1"/>
  </si>
  <si>
    <t>触媒反応方式等排出ガス減</t>
    <rPh sb="0" eb="2">
      <t>ショクバイ</t>
    </rPh>
    <rPh sb="2" eb="4">
      <t>ハンノウ</t>
    </rPh>
    <rPh sb="4" eb="6">
      <t>ホウシキ</t>
    </rPh>
    <rPh sb="6" eb="7">
      <t>トウ</t>
    </rPh>
    <rPh sb="7" eb="9">
      <t>ハイシュツ</t>
    </rPh>
    <rPh sb="11" eb="12">
      <t>ゲンショウ</t>
    </rPh>
    <phoneticPr fontId="1"/>
  </si>
  <si>
    <t>防止装置</t>
    <rPh sb="0" eb="2">
      <t>ボウシ</t>
    </rPh>
    <rPh sb="2" eb="4">
      <t>ソウチ</t>
    </rPh>
    <phoneticPr fontId="1"/>
  </si>
  <si>
    <t>少装置の取付の緩み、損傷</t>
    <rPh sb="0" eb="1">
      <t>ゲンショウ</t>
    </rPh>
    <rPh sb="1" eb="3">
      <t>ソウチ</t>
    </rPh>
    <rPh sb="4" eb="6">
      <t>トリツケ</t>
    </rPh>
    <rPh sb="7" eb="8">
      <t>ユル</t>
    </rPh>
    <rPh sb="10" eb="12">
      <t>ソンショウ</t>
    </rPh>
    <phoneticPr fontId="1"/>
  </si>
  <si>
    <t>かじ取り車輪</t>
    <rPh sb="2" eb="3">
      <t>ト</t>
    </rPh>
    <rPh sb="4" eb="6">
      <t>シャリン</t>
    </rPh>
    <phoneticPr fontId="1"/>
  </si>
  <si>
    <t>ドラムの取付の緩み</t>
    <rPh sb="4" eb="6">
      <t>トリツ</t>
    </rPh>
    <rPh sb="7" eb="8">
      <t>ユル</t>
    </rPh>
    <phoneticPr fontId="1"/>
  </si>
  <si>
    <t>プロペラ・シャフト及</t>
    <rPh sb="9" eb="10">
      <t>オヨ</t>
    </rPh>
    <phoneticPr fontId="1"/>
  </si>
  <si>
    <t>連結部の緩み(※)</t>
    <rPh sb="0" eb="2">
      <t>レンケツ</t>
    </rPh>
    <rPh sb="2" eb="3">
      <t>ブ</t>
    </rPh>
    <rPh sb="4" eb="5">
      <t>ユル</t>
    </rPh>
    <phoneticPr fontId="1"/>
  </si>
  <si>
    <t>二次空気供給装置の機能</t>
    <rPh sb="0" eb="2">
      <t>ニジ</t>
    </rPh>
    <rPh sb="2" eb="4">
      <t>クウキ</t>
    </rPh>
    <rPh sb="4" eb="6">
      <t>キョウキュウ</t>
    </rPh>
    <rPh sb="6" eb="8">
      <t>ソウチ</t>
    </rPh>
    <rPh sb="9" eb="11">
      <t>キノウ</t>
    </rPh>
    <phoneticPr fontId="1"/>
  </si>
  <si>
    <t>ベルトの緩み、損傷</t>
    <rPh sb="4" eb="5">
      <t>ユル</t>
    </rPh>
    <rPh sb="7" eb="9">
      <t>ソンショウ</t>
    </rPh>
    <phoneticPr fontId="1"/>
  </si>
  <si>
    <t>ドラムとライニングとのすき間</t>
    <rPh sb="13" eb="14">
      <t>スキマ</t>
    </rPh>
    <phoneticPr fontId="1"/>
  </si>
  <si>
    <t>自在継手部のダスト・ブーツ</t>
    <rPh sb="0" eb="2">
      <t>ジザイ</t>
    </rPh>
    <rPh sb="2" eb="3">
      <t>ツギ</t>
    </rPh>
    <rPh sb="3" eb="4">
      <t>テ</t>
    </rPh>
    <rPh sb="4" eb="5">
      <t>ブ</t>
    </rPh>
    <phoneticPr fontId="1"/>
  </si>
  <si>
    <t>排気ガス再循環装置の機能</t>
    <rPh sb="0" eb="2">
      <t>ハイキ</t>
    </rPh>
    <rPh sb="4" eb="7">
      <t>サイジュンカン</t>
    </rPh>
    <rPh sb="7" eb="9">
      <t>ソウチ</t>
    </rPh>
    <rPh sb="10" eb="12">
      <t>キノウ</t>
    </rPh>
    <phoneticPr fontId="1"/>
  </si>
  <si>
    <t>の亀裂、損傷</t>
    <rPh sb="1" eb="3">
      <t>キレツ</t>
    </rPh>
    <rPh sb="4" eb="6">
      <t>ソンショウ</t>
    </rPh>
    <phoneticPr fontId="1"/>
  </si>
  <si>
    <t>油漏れ、油量(※)</t>
    <rPh sb="0" eb="1">
      <t>アブラ</t>
    </rPh>
    <rPh sb="1" eb="2">
      <t>モ</t>
    </rPh>
    <rPh sb="4" eb="5">
      <t>ユ</t>
    </rPh>
    <rPh sb="5" eb="6">
      <t>ユリョウ</t>
    </rPh>
    <phoneticPr fontId="1"/>
  </si>
  <si>
    <t>ライニングの磨耗</t>
    <rPh sb="6" eb="8">
      <t>マモウ</t>
    </rPh>
    <phoneticPr fontId="1"/>
  </si>
  <si>
    <t>継手部のがた</t>
    <rPh sb="0" eb="1">
      <t>ツギ</t>
    </rPh>
    <rPh sb="1" eb="2">
      <t>テ</t>
    </rPh>
    <rPh sb="2" eb="3">
      <t>ブ</t>
    </rPh>
    <phoneticPr fontId="1"/>
  </si>
  <si>
    <t>減速時排気ガス減少装置の</t>
    <rPh sb="0" eb="2">
      <t>ゲンソク</t>
    </rPh>
    <rPh sb="2" eb="3">
      <t>ジ</t>
    </rPh>
    <rPh sb="3" eb="5">
      <t>ハイキ</t>
    </rPh>
    <rPh sb="7" eb="9">
      <t>ゲンショウ</t>
    </rPh>
    <rPh sb="9" eb="11">
      <t>ソウチ</t>
    </rPh>
    <phoneticPr fontId="1"/>
  </si>
  <si>
    <t>機能</t>
    <rPh sb="0" eb="2">
      <t>キノウ</t>
    </rPh>
    <phoneticPr fontId="1"/>
  </si>
  <si>
    <t>ドラムの磨耗及び損傷</t>
    <rPh sb="4" eb="6">
      <t>マモウ</t>
    </rPh>
    <rPh sb="6" eb="7">
      <t>オヨ</t>
    </rPh>
    <rPh sb="8" eb="10">
      <t>ソンショウ</t>
    </rPh>
    <phoneticPr fontId="1"/>
  </si>
  <si>
    <t>配管の損傷、取付状態</t>
    <rPh sb="0" eb="2">
      <t>ハイカン</t>
    </rPh>
    <rPh sb="3" eb="5">
      <t>ソンショウ</t>
    </rPh>
    <rPh sb="6" eb="8">
      <t>トリツケ</t>
    </rPh>
    <rPh sb="8" eb="10">
      <t>ジョウタイ</t>
    </rPh>
    <phoneticPr fontId="1"/>
  </si>
  <si>
    <t>・制動装置</t>
    <rPh sb="1" eb="3">
      <t>セイドウ</t>
    </rPh>
    <rPh sb="3" eb="5">
      <t>ソウチ</t>
    </rPh>
    <phoneticPr fontId="1"/>
  </si>
  <si>
    <t>二重安全ブレーキ</t>
    <rPh sb="0" eb="2">
      <t>ニジュウ</t>
    </rPh>
    <rPh sb="2" eb="4">
      <t>アンゼン</t>
    </rPh>
    <phoneticPr fontId="1"/>
  </si>
  <si>
    <t>警音器、窓ふき器、</t>
    <rPh sb="0" eb="1">
      <t>ケイコク</t>
    </rPh>
    <rPh sb="1" eb="2">
      <t>オン</t>
    </rPh>
    <rPh sb="2" eb="3">
      <t>キ</t>
    </rPh>
    <rPh sb="4" eb="5">
      <t>マド</t>
    </rPh>
    <rPh sb="7" eb="8">
      <t>キ</t>
    </rPh>
    <phoneticPr fontId="1"/>
  </si>
  <si>
    <t>機構</t>
    <rPh sb="0" eb="2">
      <t>キコウ</t>
    </rPh>
    <phoneticPr fontId="1"/>
  </si>
  <si>
    <t>洗浄液噴射装置、</t>
    <rPh sb="0" eb="2">
      <t>センジョウ</t>
    </rPh>
    <rPh sb="2" eb="3">
      <t>エキ</t>
    </rPh>
    <rPh sb="3" eb="5">
      <t>フンシャ</t>
    </rPh>
    <rPh sb="5" eb="7">
      <t>ソウチ</t>
    </rPh>
    <phoneticPr fontId="1"/>
  </si>
  <si>
    <t>遊び、踏み込んだときの</t>
    <rPh sb="0" eb="1">
      <t>アソ</t>
    </rPh>
    <rPh sb="3" eb="4">
      <t>フ</t>
    </rPh>
    <rPh sb="5" eb="6">
      <t>コ</t>
    </rPh>
    <phoneticPr fontId="1"/>
  </si>
  <si>
    <t>･走行装置</t>
    <rPh sb="1" eb="3">
      <t>ソウコウ</t>
    </rPh>
    <rPh sb="3" eb="5">
      <t>ソウチ</t>
    </rPh>
    <phoneticPr fontId="1"/>
  </si>
  <si>
    <t>・電気装置</t>
    <rPh sb="1" eb="3">
      <t>デンキ</t>
    </rPh>
    <rPh sb="3" eb="5">
      <t>ソウチ</t>
    </rPh>
    <phoneticPr fontId="1"/>
  </si>
  <si>
    <t>デフロスタ、施錠装置</t>
    <rPh sb="6" eb="8">
      <t>セジョウ</t>
    </rPh>
    <rPh sb="8" eb="10">
      <t>ソウチ</t>
    </rPh>
    <phoneticPr fontId="1"/>
  </si>
  <si>
    <t>点火装置</t>
    <rPh sb="0" eb="2">
      <t>テンカ</t>
    </rPh>
    <rPh sb="2" eb="4">
      <t>ソウチ</t>
    </rPh>
    <phoneticPr fontId="1"/>
  </si>
  <si>
    <t>点火プラグの状態(※)</t>
    <rPh sb="0" eb="2">
      <t>テンカ</t>
    </rPh>
    <rPh sb="6" eb="8">
      <t>ジョウタイ</t>
    </rPh>
    <phoneticPr fontId="1"/>
  </si>
  <si>
    <t>取付の緩み、損傷(※)</t>
    <rPh sb="0" eb="2">
      <t>トリツケ</t>
    </rPh>
    <rPh sb="3" eb="4">
      <t>ユル</t>
    </rPh>
    <rPh sb="6" eb="8">
      <t>ソンショウ</t>
    </rPh>
    <phoneticPr fontId="1"/>
  </si>
  <si>
    <t>ブレーキのきき具合</t>
    <rPh sb="7" eb="9">
      <t>グアイ</t>
    </rPh>
    <phoneticPr fontId="1"/>
  </si>
  <si>
    <t>ﾀｲﾔの状態(※)</t>
    <rPh sb="4" eb="6">
      <t>ジョウタイ</t>
    </rPh>
    <phoneticPr fontId="1"/>
  </si>
  <si>
    <t>(白金プラグ及びイジウム</t>
    <rPh sb="1" eb="3">
      <t>ハッキン</t>
    </rPh>
    <rPh sb="6" eb="7">
      <t>オヨ</t>
    </rPh>
    <phoneticPr fontId="1"/>
  </si>
  <si>
    <t>及びマフラ</t>
    <rPh sb="0" eb="1">
      <t>オヨ</t>
    </rPh>
    <phoneticPr fontId="1"/>
  </si>
  <si>
    <t>ピラグを除く）</t>
    <rPh sb="4" eb="5">
      <t>ノゾ</t>
    </rPh>
    <phoneticPr fontId="1"/>
  </si>
  <si>
    <t>マフラの機能</t>
    <rPh sb="4" eb="6">
      <t>キノウ</t>
    </rPh>
    <phoneticPr fontId="1"/>
  </si>
  <si>
    <t>駐車ブレーキ機構</t>
    <rPh sb="0" eb="2">
      <t>チュウシャ</t>
    </rPh>
    <rPh sb="6" eb="8">
      <t>キコウ</t>
    </rPh>
    <phoneticPr fontId="1"/>
  </si>
  <si>
    <t>引きしろ</t>
    <rPh sb="0" eb="1">
      <t>ヒ</t>
    </rPh>
    <phoneticPr fontId="1"/>
  </si>
  <si>
    <t>点火時期</t>
    <rPh sb="0" eb="2">
      <t>テンカ</t>
    </rPh>
    <rPh sb="2" eb="4">
      <t>ジキ</t>
    </rPh>
    <phoneticPr fontId="1"/>
  </si>
  <si>
    <t>ボルトの緩み</t>
    <rPh sb="4" eb="5">
      <t>ユル</t>
    </rPh>
    <phoneticPr fontId="1"/>
  </si>
  <si>
    <t>エア・タンクの凝水</t>
    <rPh sb="8" eb="9">
      <t>スイ</t>
    </rPh>
    <phoneticPr fontId="1"/>
  </si>
  <si>
    <t>ボルトの損傷(大型車)</t>
    <rPh sb="4" eb="6">
      <t>ソンショウ</t>
    </rPh>
    <rPh sb="7" eb="10">
      <t>オオガタシャ</t>
    </rPh>
    <phoneticPr fontId="1"/>
  </si>
  <si>
    <t>の状態</t>
    <rPh sb="1" eb="3">
      <t>ジョウタイ</t>
    </rPh>
    <phoneticPr fontId="1"/>
  </si>
  <si>
    <t>ホース及びパイプ</t>
    <rPh sb="3" eb="4">
      <t>オヨ</t>
    </rPh>
    <phoneticPr fontId="1"/>
  </si>
  <si>
    <t>漏れ、損傷、取付状態</t>
    <rPh sb="0" eb="1">
      <t>モ</t>
    </rPh>
    <rPh sb="3" eb="5">
      <t>ソンショウ</t>
    </rPh>
    <rPh sb="6" eb="8">
      <t>トリツ</t>
    </rPh>
    <rPh sb="8" eb="10">
      <t>ジョウタイ</t>
    </rPh>
    <phoneticPr fontId="1"/>
  </si>
  <si>
    <t>ターミナル部の接続状態</t>
    <rPh sb="5" eb="6">
      <t>ブ</t>
    </rPh>
    <rPh sb="7" eb="9">
      <t>セツゾク</t>
    </rPh>
    <rPh sb="9" eb="11">
      <t>ジョウタイ</t>
    </rPh>
    <phoneticPr fontId="1"/>
  </si>
  <si>
    <t>ルブの機能</t>
    <rPh sb="3" eb="5">
      <t>キノウ</t>
    </rPh>
    <phoneticPr fontId="1"/>
  </si>
  <si>
    <t>電気配線</t>
    <rPh sb="0" eb="2">
      <t>デンキ</t>
    </rPh>
    <rPh sb="2" eb="4">
      <t>ハイセン</t>
    </rPh>
    <phoneticPr fontId="1"/>
  </si>
  <si>
    <t>接続部の緩み、損傷</t>
    <rPh sb="0" eb="2">
      <t>セツゾク</t>
    </rPh>
    <rPh sb="2" eb="3">
      <t>ブ</t>
    </rPh>
    <rPh sb="4" eb="5">
      <t>ユル</t>
    </rPh>
    <rPh sb="7" eb="9">
      <t>ソンショウ</t>
    </rPh>
    <phoneticPr fontId="1"/>
  </si>
  <si>
    <t>高圧ｶﾞｽを燃料とする</t>
    <rPh sb="0" eb="2">
      <t>コウアツ</t>
    </rPh>
    <rPh sb="6" eb="8">
      <t>ネンリョウ</t>
    </rPh>
    <phoneticPr fontId="1"/>
  </si>
  <si>
    <t>導管及び継手部のｶﾞｽ漏れ</t>
    <rPh sb="0" eb="2">
      <t>ドウカン</t>
    </rPh>
    <rPh sb="2" eb="3">
      <t>オヨ</t>
    </rPh>
    <rPh sb="4" eb="5">
      <t>ツギ</t>
    </rPh>
    <rPh sb="5" eb="6">
      <t>テ</t>
    </rPh>
    <rPh sb="6" eb="7">
      <t>ブ</t>
    </rPh>
    <rPh sb="11" eb="12">
      <t>モ</t>
    </rPh>
    <phoneticPr fontId="1"/>
  </si>
  <si>
    <t>・ディスクの損傷</t>
    <rPh sb="6" eb="8">
      <t>ソンショウ</t>
    </rPh>
    <phoneticPr fontId="1"/>
  </si>
  <si>
    <t>燃料装置等</t>
    <rPh sb="0" eb="2">
      <t>ネンリョウ</t>
    </rPh>
    <rPh sb="2" eb="4">
      <t>ソウチ</t>
    </rPh>
    <rPh sb="4" eb="5">
      <t>トウ</t>
    </rPh>
    <phoneticPr fontId="1"/>
  </si>
  <si>
    <t>損傷</t>
    <rPh sb="0" eb="2">
      <t>ソンショウ</t>
    </rPh>
    <phoneticPr fontId="1"/>
  </si>
  <si>
    <t>機能、磨耗、損傷</t>
    <rPh sb="0" eb="1">
      <t>キ</t>
    </rPh>
    <rPh sb="1" eb="2">
      <t>ノウ</t>
    </rPh>
    <rPh sb="3" eb="5">
      <t>マモウ</t>
    </rPh>
    <rPh sb="6" eb="8">
      <t>ソンショウ</t>
    </rPh>
    <phoneticPr fontId="1"/>
  </si>
  <si>
    <t>・原動機</t>
    <rPh sb="1" eb="4">
      <t>ゲンドウキ</t>
    </rPh>
    <phoneticPr fontId="1"/>
  </si>
  <si>
    <t>ｶﾞｽ容器取付部の緩み､損傷</t>
    <rPh sb="3" eb="5">
      <t>ヨウキ</t>
    </rPh>
    <rPh sb="5" eb="7">
      <t>トリツケ</t>
    </rPh>
    <rPh sb="7" eb="8">
      <t>ブ</t>
    </rPh>
    <rPh sb="9" eb="10">
      <t>ユル</t>
    </rPh>
    <rPh sb="12" eb="14">
      <t>ソンショウ</t>
    </rPh>
    <phoneticPr fontId="1"/>
  </si>
  <si>
    <t>ール・シリンダ及び</t>
    <rPh sb="7" eb="8">
      <t>オヨ</t>
    </rPh>
    <phoneticPr fontId="1"/>
  </si>
  <si>
    <t>･緩衝装置</t>
    <rPh sb="1" eb="3">
      <t>カンショウ</t>
    </rPh>
    <rPh sb="3" eb="5">
      <t>ソウチ</t>
    </rPh>
    <phoneticPr fontId="1"/>
  </si>
  <si>
    <t>本体</t>
    <rPh sb="0" eb="2">
      <t>ホンタイ</t>
    </rPh>
    <phoneticPr fontId="1"/>
  </si>
  <si>
    <t>車枠及び車体</t>
    <rPh sb="0" eb="1">
      <t>シャ</t>
    </rPh>
    <rPh sb="1" eb="2">
      <t>ワク</t>
    </rPh>
    <rPh sb="2" eb="3">
      <t>オヨ</t>
    </rPh>
    <rPh sb="4" eb="6">
      <t>シャタイ</t>
    </rPh>
    <phoneticPr fontId="1"/>
  </si>
  <si>
    <t>非常口の扉の機能</t>
    <rPh sb="0" eb="2">
      <t>ヒジョウ</t>
    </rPh>
    <rPh sb="2" eb="3">
      <t>グチ</t>
    </rPh>
    <rPh sb="4" eb="5">
      <t>トビラ</t>
    </rPh>
    <rPh sb="6" eb="8">
      <t>キノウ</t>
    </rPh>
    <phoneticPr fontId="1"/>
  </si>
  <si>
    <t>状態(※)</t>
    <rPh sb="0" eb="2">
      <t>ジョウタイ</t>
    </rPh>
    <phoneticPr fontId="1"/>
  </si>
  <si>
    <t>リーフ・サスペンション</t>
    <phoneticPr fontId="1"/>
  </si>
  <si>
    <t>スプリングの損傷</t>
    <rPh sb="6" eb="8">
      <t>ソンショウ</t>
    </rPh>
    <phoneticPr fontId="1"/>
  </si>
  <si>
    <t>低速及び加速の状態</t>
    <rPh sb="0" eb="2">
      <t>テイソク</t>
    </rPh>
    <rPh sb="2" eb="3">
      <t>オヨ</t>
    </rPh>
    <rPh sb="4" eb="6">
      <t>カソク</t>
    </rPh>
    <rPh sb="7" eb="9">
      <t>ジョウタイ</t>
    </rPh>
    <phoneticPr fontId="1"/>
  </si>
  <si>
    <t>緩み、損傷</t>
    <rPh sb="0" eb="1">
      <t>ユル</t>
    </rPh>
    <rPh sb="3" eb="5">
      <t>ソンショウ</t>
    </rPh>
    <phoneticPr fontId="1"/>
  </si>
  <si>
    <t>機能</t>
    <rPh sb="0" eb="1">
      <t>キ</t>
    </rPh>
    <rPh sb="1" eb="2">
      <t>ノウ</t>
    </rPh>
    <phoneticPr fontId="1"/>
  </si>
  <si>
    <t>取付部､連結部の緩み､がた</t>
    <rPh sb="0" eb="2">
      <t>トリツケ</t>
    </rPh>
    <rPh sb="2" eb="3">
      <t>ブ</t>
    </rPh>
    <rPh sb="4" eb="6">
      <t>レンケツ</t>
    </rPh>
    <rPh sb="6" eb="7">
      <t>ブ</t>
    </rPh>
    <rPh sb="8" eb="9">
      <t>ユル</t>
    </rPh>
    <phoneticPr fontId="1"/>
  </si>
  <si>
    <t>排気の状態</t>
    <rPh sb="0" eb="2">
      <t>ハイキ</t>
    </rPh>
    <rPh sb="3" eb="5">
      <t>ジョウタイ</t>
    </rPh>
    <phoneticPr fontId="1"/>
  </si>
  <si>
    <t>連結装置</t>
    <rPh sb="0" eb="2">
      <t>レンケツ</t>
    </rPh>
    <rPh sb="2" eb="4">
      <t>ソウチ</t>
    </rPh>
    <phoneticPr fontId="1"/>
  </si>
  <si>
    <t>カプラの機能、損傷</t>
    <rPh sb="4" eb="6">
      <t>キノウ</t>
    </rPh>
    <rPh sb="7" eb="9">
      <t>ソンショウ</t>
    </rPh>
    <phoneticPr fontId="1"/>
  </si>
  <si>
    <t>ﾚﾘｰｽﾞ･ﾊﾞﾙﾌﾞ及び</t>
    <rPh sb="11" eb="12">
      <t>オヨ</t>
    </rPh>
    <phoneticPr fontId="1"/>
  </si>
  <si>
    <t>シリンダ・ヘッド及びマニホー</t>
    <rPh sb="8" eb="9">
      <t>オヨ</t>
    </rPh>
    <phoneticPr fontId="1"/>
  </si>
  <si>
    <t>ピントル・フックの磨耗、亀裂</t>
    <rPh sb="9" eb="11">
      <t>マモウ</t>
    </rPh>
    <rPh sb="12" eb="14">
      <t>キレツ</t>
    </rPh>
    <phoneticPr fontId="1"/>
  </si>
  <si>
    <t>ルド各部の締付状態</t>
    <rPh sb="2" eb="4">
      <t>カクブ</t>
    </rPh>
    <rPh sb="5" eb="7">
      <t>シメツケ</t>
    </rPh>
    <rPh sb="7" eb="9">
      <t>ジョウタイ</t>
    </rPh>
    <phoneticPr fontId="1"/>
  </si>
  <si>
    <t>倍力装置</t>
    <rPh sb="0" eb="1">
      <t>バイ</t>
    </rPh>
    <rPh sb="1" eb="2">
      <t>リョク</t>
    </rPh>
    <rPh sb="2" eb="4">
      <t>ソウチ</t>
    </rPh>
    <phoneticPr fontId="1"/>
  </si>
  <si>
    <t>エア・クリーナの詰まり</t>
    <rPh sb="8" eb="9">
      <t>ツ</t>
    </rPh>
    <phoneticPr fontId="1"/>
  </si>
  <si>
    <t>取付部、連結部の緩み､がた</t>
    <rPh sb="0" eb="2">
      <t>トリツケ</t>
    </rPh>
    <rPh sb="2" eb="3">
      <t>ブ</t>
    </rPh>
    <rPh sb="4" eb="6">
      <t>レンケツ</t>
    </rPh>
    <rPh sb="6" eb="7">
      <t>ブ</t>
    </rPh>
    <rPh sb="8" eb="9">
      <t>ユル</t>
    </rPh>
    <phoneticPr fontId="1"/>
  </si>
  <si>
    <t>潤滑装置</t>
    <rPh sb="0" eb="2">
      <t>ジュンカツ</t>
    </rPh>
    <rPh sb="2" eb="4">
      <t>ソウチ</t>
    </rPh>
    <phoneticPr fontId="1"/>
  </si>
  <si>
    <t>座席</t>
    <rPh sb="0" eb="2">
      <t>ザセキ</t>
    </rPh>
    <phoneticPr fontId="1"/>
  </si>
  <si>
    <t>座席ベルトの状態</t>
    <rPh sb="0" eb="2">
      <t>ザセキ</t>
    </rPh>
    <rPh sb="6" eb="8">
      <t>ジョウタイ</t>
    </rPh>
    <phoneticPr fontId="1"/>
  </si>
  <si>
    <t>(事業用バス・乗用車のみ)</t>
    <rPh sb="1" eb="4">
      <t>ジギョウヨウ</t>
    </rPh>
    <rPh sb="7" eb="9">
      <t>ジョウヨウ</t>
    </rPh>
    <rPh sb="9" eb="10">
      <t>シャ</t>
    </rPh>
    <phoneticPr fontId="1"/>
  </si>
  <si>
    <t>エア漏れ</t>
    <rPh sb="2" eb="3">
      <t>モ</t>
    </rPh>
    <phoneticPr fontId="1"/>
  </si>
  <si>
    <t>燃料装置</t>
    <rPh sb="0" eb="2">
      <t>ネンリョウ</t>
    </rPh>
    <rPh sb="2" eb="4">
      <t>ソウチ</t>
    </rPh>
    <phoneticPr fontId="1"/>
  </si>
  <si>
    <t>燃料漏れ</t>
    <rPh sb="0" eb="2">
      <t>ネンリョウ</t>
    </rPh>
    <rPh sb="2" eb="3">
      <t>モ</t>
    </rPh>
    <phoneticPr fontId="1"/>
  </si>
  <si>
    <t>開扉発車防止装置</t>
    <rPh sb="0" eb="1">
      <t>カイ</t>
    </rPh>
    <rPh sb="1" eb="2">
      <t>トビラ</t>
    </rPh>
    <rPh sb="2" eb="4">
      <t>ハッシャ</t>
    </rPh>
    <rPh sb="4" eb="6">
      <t>ボウシ</t>
    </rPh>
    <rPh sb="6" eb="8">
      <t>ソウチ</t>
    </rPh>
    <phoneticPr fontId="1"/>
  </si>
  <si>
    <t>磨耗</t>
    <rPh sb="0" eb="2">
      <t>マモウ</t>
    </rPh>
    <phoneticPr fontId="1"/>
  </si>
  <si>
    <t>ベローズの損傷(※)</t>
    <rPh sb="5" eb="7">
      <t>ソンショウ</t>
    </rPh>
    <phoneticPr fontId="1"/>
  </si>
  <si>
    <t>冷却装置</t>
    <rPh sb="0" eb="2">
      <t>レイキャク</t>
    </rPh>
    <rPh sb="2" eb="4">
      <t>ソウチ</t>
    </rPh>
    <phoneticPr fontId="1"/>
  </si>
  <si>
    <t>ファン・ベルトの緩み、損傷</t>
    <rPh sb="8" eb="9">
      <t>ユル</t>
    </rPh>
    <rPh sb="11" eb="13">
      <t>ソンショウ</t>
    </rPh>
    <phoneticPr fontId="1"/>
  </si>
  <si>
    <t>その他</t>
    <rPh sb="2" eb="3">
      <t>タ</t>
    </rPh>
    <phoneticPr fontId="1"/>
  </si>
  <si>
    <t>シャシ各部の給油脂状態</t>
    <rPh sb="3" eb="5">
      <t>カクブ</t>
    </rPh>
    <rPh sb="6" eb="8">
      <t>キュウユ</t>
    </rPh>
    <rPh sb="8" eb="9">
      <t>シ</t>
    </rPh>
    <rPh sb="9" eb="11">
      <t>ジョウタイ</t>
    </rPh>
    <phoneticPr fontId="1"/>
  </si>
  <si>
    <t>取付部、連結部の緩み､損傷</t>
    <rPh sb="0" eb="2">
      <t>トリツケ</t>
    </rPh>
    <rPh sb="2" eb="3">
      <t>ブ</t>
    </rPh>
    <rPh sb="4" eb="6">
      <t>レンケツ</t>
    </rPh>
    <rPh sb="6" eb="7">
      <t>ブ</t>
    </rPh>
    <rPh sb="8" eb="9">
      <t>ユル</t>
    </rPh>
    <rPh sb="11" eb="13">
      <t>ソンショウ</t>
    </rPh>
    <phoneticPr fontId="1"/>
  </si>
  <si>
    <t>水漏れ</t>
    <rPh sb="0" eb="2">
      <t>ミズモ</t>
    </rPh>
    <phoneticPr fontId="1"/>
  </si>
  <si>
    <t>区　分　及び　記　号</t>
    <rPh sb="0" eb="1">
      <t>ク</t>
    </rPh>
    <rPh sb="2" eb="3">
      <t>ブン</t>
    </rPh>
    <rPh sb="4" eb="5">
      <t>オヨ</t>
    </rPh>
    <rPh sb="7" eb="8">
      <t>キ</t>
    </rPh>
    <rPh sb="9" eb="10">
      <t>ゴウ</t>
    </rPh>
    <phoneticPr fontId="1"/>
  </si>
  <si>
    <t>ＣＯ．ＨＣ濃度</t>
    <rPh sb="5" eb="7">
      <t>ノウド</t>
    </rPh>
    <phoneticPr fontId="1"/>
  </si>
  <si>
    <t>整備主任者の氏名</t>
    <rPh sb="0" eb="2">
      <t>セイビ</t>
    </rPh>
    <rPh sb="2" eb="4">
      <t>シュニン</t>
    </rPh>
    <rPh sb="4" eb="5">
      <t>シャ</t>
    </rPh>
    <rPh sb="6" eb="8">
      <t>シメイ</t>
    </rPh>
    <phoneticPr fontId="1"/>
  </si>
  <si>
    <t>点検</t>
    <rPh sb="0" eb="2">
      <t>テンケン</t>
    </rPh>
    <phoneticPr fontId="1"/>
  </si>
  <si>
    <t>交換</t>
    <rPh sb="0" eb="2">
      <t>コウカン</t>
    </rPh>
    <phoneticPr fontId="1"/>
  </si>
  <si>
    <t>　　　　　　　(アイドリング時)</t>
    <rPh sb="14" eb="15">
      <t>ジ</t>
    </rPh>
    <phoneticPr fontId="1"/>
  </si>
  <si>
    <t>点検の年月日</t>
    <rPh sb="0" eb="2">
      <t>テンケン</t>
    </rPh>
    <rPh sb="3" eb="6">
      <t>ネンガッピ</t>
    </rPh>
    <phoneticPr fontId="1"/>
  </si>
  <si>
    <t>分解</t>
    <rPh sb="0" eb="2">
      <t>ブンカイ</t>
    </rPh>
    <phoneticPr fontId="1"/>
  </si>
  <si>
    <t>修理</t>
    <rPh sb="0" eb="2">
      <t>シュウリ</t>
    </rPh>
    <phoneticPr fontId="1"/>
  </si>
  <si>
    <t>調整</t>
    <rPh sb="0" eb="2">
      <t>チョウセイ</t>
    </rPh>
    <phoneticPr fontId="1"/>
  </si>
  <si>
    <t>清掃</t>
    <rPh sb="0" eb="2">
      <t>セイソウ</t>
    </rPh>
    <phoneticPr fontId="1"/>
  </si>
  <si>
    <t>整備完了年月日</t>
    <rPh sb="0" eb="2">
      <t>セイビ</t>
    </rPh>
    <rPh sb="2" eb="4">
      <t>カンリョウ</t>
    </rPh>
    <rPh sb="4" eb="7">
      <t>ネンガッピ</t>
    </rPh>
    <phoneticPr fontId="1"/>
  </si>
  <si>
    <t>締付</t>
    <rPh sb="0" eb="2">
      <t>シメツ</t>
    </rPh>
    <phoneticPr fontId="1"/>
  </si>
  <si>
    <t>給油</t>
    <rPh sb="0" eb="2">
      <t>キュウユ</t>
    </rPh>
    <phoneticPr fontId="1"/>
  </si>
  <si>
    <t>点検時の総走行距離</t>
    <rPh sb="0" eb="2">
      <t>テンケン</t>
    </rPh>
    <rPh sb="2" eb="3">
      <t>ジ</t>
    </rPh>
    <rPh sb="4" eb="5">
      <t>ソウ</t>
    </rPh>
    <rPh sb="5" eb="7">
      <t>ソウコウ</t>
    </rPh>
    <rPh sb="7" eb="9">
      <t>キョリ</t>
    </rPh>
    <phoneticPr fontId="1"/>
  </si>
  <si>
    <t>該当なし</t>
    <rPh sb="0" eb="2">
      <t>ガイトウ</t>
    </rPh>
    <phoneticPr fontId="1"/>
  </si>
  <si>
    <t>セブン通商　株式会社</t>
    <rPh sb="3" eb="5">
      <t>ツウショウ</t>
    </rPh>
    <rPh sb="6" eb="10">
      <t>カブシキガイシャ</t>
    </rPh>
    <phoneticPr fontId="1"/>
  </si>
  <si>
    <t>愛知県西尾市吉良町吉田亥改13-3</t>
    <rPh sb="0" eb="3">
      <t>アイチケン</t>
    </rPh>
    <rPh sb="3" eb="6">
      <t>ニシオシ</t>
    </rPh>
    <rPh sb="6" eb="8">
      <t>キラ</t>
    </rPh>
    <rPh sb="8" eb="9">
      <t>チョウ</t>
    </rPh>
    <rPh sb="9" eb="11">
      <t>ヨシダ</t>
    </rPh>
    <rPh sb="11" eb="12">
      <t>イ</t>
    </rPh>
    <rPh sb="12" eb="13">
      <t>アラタ</t>
    </rPh>
    <phoneticPr fontId="1"/>
  </si>
  <si>
    <t>点検又は整備を実施した者の氏名又は名称</t>
    <rPh sb="0" eb="2">
      <t>テンケン</t>
    </rPh>
    <rPh sb="2" eb="3">
      <t>マタ</t>
    </rPh>
    <rPh sb="4" eb="6">
      <t>セイビ</t>
    </rPh>
    <rPh sb="7" eb="9">
      <t>ジッシ</t>
    </rPh>
    <rPh sb="11" eb="12">
      <t>モノ</t>
    </rPh>
    <rPh sb="13" eb="15">
      <t>シメイ</t>
    </rPh>
    <rPh sb="15" eb="16">
      <t>マタ</t>
    </rPh>
    <rPh sb="17" eb="19">
      <t>メイショウ</t>
    </rPh>
    <phoneticPr fontId="1"/>
  </si>
  <si>
    <t>（記名の無い場合は検査員の氏名に同じ）</t>
    <rPh sb="1" eb="2">
      <t>キ</t>
    </rPh>
    <rPh sb="2" eb="3">
      <t>メイ</t>
    </rPh>
    <rPh sb="4" eb="5">
      <t>ナ</t>
    </rPh>
    <rPh sb="6" eb="8">
      <t>バアイ</t>
    </rPh>
    <rPh sb="9" eb="12">
      <t>ケンサイン</t>
    </rPh>
    <rPh sb="13" eb="15">
      <t>シメイ</t>
    </rPh>
    <rPh sb="16" eb="17">
      <t>オナ</t>
    </rPh>
    <phoneticPr fontId="1"/>
  </si>
  <si>
    <t>車名</t>
    <rPh sb="0" eb="2">
      <t>シャメイ</t>
    </rPh>
    <phoneticPr fontId="10"/>
  </si>
  <si>
    <t>型式</t>
    <rPh sb="0" eb="2">
      <t>カタシキ</t>
    </rPh>
    <phoneticPr fontId="10"/>
  </si>
  <si>
    <t>形状</t>
    <rPh sb="0" eb="2">
      <t>ケイジョウ</t>
    </rPh>
    <phoneticPr fontId="10"/>
  </si>
  <si>
    <t>三河100か</t>
    <rPh sb="0" eb="2">
      <t>ミカワ</t>
    </rPh>
    <phoneticPr fontId="10"/>
  </si>
  <si>
    <t>ADG-GW4XLG</t>
    <phoneticPr fontId="10"/>
  </si>
  <si>
    <t>ダブル</t>
    <phoneticPr fontId="10"/>
  </si>
  <si>
    <t>KL-CK482BAT</t>
    <phoneticPr fontId="10"/>
  </si>
  <si>
    <t>シングル</t>
    <phoneticPr fontId="10"/>
  </si>
  <si>
    <t>ADG-GK4XAB</t>
    <phoneticPr fontId="10"/>
  </si>
  <si>
    <t>滋賀100か</t>
    <rPh sb="0" eb="2">
      <t>シガ</t>
    </rPh>
    <phoneticPr fontId="10"/>
  </si>
  <si>
    <t>三菱</t>
    <rPh sb="0" eb="2">
      <t>ミツビシ</t>
    </rPh>
    <phoneticPr fontId="10"/>
  </si>
  <si>
    <t>KC-FU519UZ</t>
    <phoneticPr fontId="10"/>
  </si>
  <si>
    <t>KK-FK61HKY</t>
    <phoneticPr fontId="10"/>
  </si>
  <si>
    <t>日野</t>
    <rPh sb="0" eb="2">
      <t>ヒノ</t>
    </rPh>
    <phoneticPr fontId="10"/>
  </si>
  <si>
    <t>三河100あ</t>
    <rPh sb="0" eb="2">
      <t>ミカワ</t>
    </rPh>
    <phoneticPr fontId="10"/>
  </si>
  <si>
    <t>滋賀100あ</t>
    <rPh sb="0" eb="2">
      <t>シガ</t>
    </rPh>
    <phoneticPr fontId="10"/>
  </si>
  <si>
    <t>BDG-MK37D</t>
    <phoneticPr fontId="10"/>
  </si>
  <si>
    <t>4㌧平</t>
    <rPh sb="2" eb="3">
      <t>ヒラ</t>
    </rPh>
    <phoneticPr fontId="10"/>
  </si>
  <si>
    <t>三河100き</t>
    <rPh sb="0" eb="2">
      <t>ミカワ</t>
    </rPh>
    <phoneticPr fontId="10"/>
  </si>
  <si>
    <t>KL-FW2PZGG</t>
    <phoneticPr fontId="10"/>
  </si>
  <si>
    <t>低床幌W　10ｍ</t>
    <rPh sb="0" eb="2">
      <t>テイショウ</t>
    </rPh>
    <rPh sb="2" eb="3">
      <t>ホロ</t>
    </rPh>
    <phoneticPr fontId="10"/>
  </si>
  <si>
    <t>KL-FS55JVZ</t>
    <phoneticPr fontId="10"/>
  </si>
  <si>
    <t>低床アルミW　9.4ｍ</t>
    <rPh sb="0" eb="2">
      <t>テイショウ</t>
    </rPh>
    <phoneticPr fontId="10"/>
  </si>
  <si>
    <t>KL-FN2PWGA</t>
    <phoneticPr fontId="10"/>
  </si>
  <si>
    <t>高床幌W　10ｍ</t>
    <rPh sb="0" eb="2">
      <t>コウショウ</t>
    </rPh>
    <rPh sb="2" eb="3">
      <t>ホロ</t>
    </rPh>
    <phoneticPr fontId="10"/>
  </si>
  <si>
    <t>KL-FT50JVX</t>
    <phoneticPr fontId="10"/>
  </si>
  <si>
    <t>高床幌W　9.6ｍ</t>
    <rPh sb="0" eb="2">
      <t>コウショウ</t>
    </rPh>
    <rPh sb="2" eb="3">
      <t>ホロ</t>
    </rPh>
    <phoneticPr fontId="10"/>
  </si>
  <si>
    <t>高床アルミW　9.6ｍ</t>
    <rPh sb="0" eb="2">
      <t>コウショウ</t>
    </rPh>
    <phoneticPr fontId="10"/>
  </si>
  <si>
    <t>KL-CD48L</t>
    <phoneticPr fontId="10"/>
  </si>
  <si>
    <t>KC-FS510VZ</t>
    <phoneticPr fontId="10"/>
  </si>
  <si>
    <t>低床アルミW　9.6ｍ</t>
    <rPh sb="0" eb="2">
      <t>テイショウ</t>
    </rPh>
    <phoneticPr fontId="10"/>
  </si>
  <si>
    <t>KL-FW2PBHG</t>
    <phoneticPr fontId="10"/>
  </si>
  <si>
    <t>低床アルミW　10ｍ</t>
    <rPh sb="0" eb="2">
      <t>テイショウ</t>
    </rPh>
    <phoneticPr fontId="10"/>
  </si>
  <si>
    <t>KK-FC1JJDA</t>
    <phoneticPr fontId="10"/>
  </si>
  <si>
    <t>4㌧　幌W　6.2ｍ</t>
    <rPh sb="3" eb="4">
      <t>ホロ</t>
    </rPh>
    <phoneticPr fontId="10"/>
  </si>
  <si>
    <t>BDG-PW37C</t>
    <phoneticPr fontId="10"/>
  </si>
  <si>
    <t>10㌧平　ショート</t>
    <rPh sb="3" eb="4">
      <t>ヒラ</t>
    </rPh>
    <phoneticPr fontId="10"/>
  </si>
  <si>
    <t>ニッサンディーゼル</t>
    <phoneticPr fontId="10"/>
  </si>
  <si>
    <t>原動機</t>
    <rPh sb="0" eb="3">
      <t>ゲンドウキ</t>
    </rPh>
    <phoneticPr fontId="1"/>
  </si>
  <si>
    <t>8DC11</t>
    <phoneticPr fontId="1"/>
  </si>
  <si>
    <t>6M61</t>
    <phoneticPr fontId="1"/>
  </si>
  <si>
    <t>J08E</t>
    <phoneticPr fontId="1"/>
  </si>
  <si>
    <t>GE13</t>
    <phoneticPr fontId="1"/>
  </si>
  <si>
    <t>P11C</t>
    <phoneticPr fontId="1"/>
  </si>
  <si>
    <t>6M70</t>
    <phoneticPr fontId="1"/>
  </si>
  <si>
    <t>平成12年8月</t>
    <rPh sb="0" eb="2">
      <t>ヘイセイ</t>
    </rPh>
    <rPh sb="4" eb="5">
      <t>ネン</t>
    </rPh>
    <rPh sb="6" eb="7">
      <t>ガツ</t>
    </rPh>
    <phoneticPr fontId="1"/>
  </si>
  <si>
    <t>FS510VZ500539</t>
    <phoneticPr fontId="1"/>
  </si>
  <si>
    <t>6D40</t>
    <phoneticPr fontId="1"/>
  </si>
  <si>
    <t>平成9年3月</t>
    <rPh sb="0" eb="2">
      <t>ヘイセイ</t>
    </rPh>
    <rPh sb="3" eb="4">
      <t>ネン</t>
    </rPh>
    <rPh sb="5" eb="6">
      <t>ガツ</t>
    </rPh>
    <phoneticPr fontId="1"/>
  </si>
  <si>
    <t>平成15年9月</t>
    <rPh sb="0" eb="2">
      <t>ヘイセイ</t>
    </rPh>
    <rPh sb="4" eb="5">
      <t>ネン</t>
    </rPh>
    <rPh sb="6" eb="7">
      <t>ガツ</t>
    </rPh>
    <phoneticPr fontId="1"/>
  </si>
  <si>
    <t>CD48L30537</t>
    <phoneticPr fontId="1"/>
  </si>
  <si>
    <t>J08C</t>
    <phoneticPr fontId="1"/>
  </si>
  <si>
    <t>平成12年11月</t>
    <rPh sb="0" eb="2">
      <t>ヘイセイ</t>
    </rPh>
    <rPh sb="4" eb="5">
      <t>ネン</t>
    </rPh>
    <rPh sb="7" eb="8">
      <t>ガツ</t>
    </rPh>
    <phoneticPr fontId="1"/>
  </si>
  <si>
    <t>FC1JJD10553</t>
    <phoneticPr fontId="1"/>
  </si>
  <si>
    <t>平成15年12月</t>
    <rPh sb="0" eb="2">
      <t>ヘイセイ</t>
    </rPh>
    <rPh sb="4" eb="5">
      <t>ネン</t>
    </rPh>
    <rPh sb="7" eb="8">
      <t>ガツ</t>
    </rPh>
    <phoneticPr fontId="1"/>
  </si>
  <si>
    <t>FN2PWG51164</t>
    <phoneticPr fontId="1"/>
  </si>
  <si>
    <t>FT50JVX530167</t>
    <phoneticPr fontId="1"/>
  </si>
  <si>
    <t>平成13年12月</t>
    <rPh sb="0" eb="2">
      <t>ヘイセイ</t>
    </rPh>
    <rPh sb="4" eb="5">
      <t>ネン</t>
    </rPh>
    <rPh sb="7" eb="8">
      <t>ガツ</t>
    </rPh>
    <phoneticPr fontId="1"/>
  </si>
  <si>
    <t>FW2PZG10064</t>
    <phoneticPr fontId="1"/>
  </si>
  <si>
    <t>FN2PWG51163</t>
    <phoneticPr fontId="1"/>
  </si>
  <si>
    <t>平成12年3月</t>
    <rPh sb="0" eb="2">
      <t>ヘイセイ</t>
    </rPh>
    <rPh sb="4" eb="5">
      <t>ネン</t>
    </rPh>
    <rPh sb="6" eb="7">
      <t>ガツ</t>
    </rPh>
    <phoneticPr fontId="1"/>
  </si>
  <si>
    <t>平成20年3月</t>
    <rPh sb="0" eb="2">
      <t>ヘイセイ</t>
    </rPh>
    <rPh sb="4" eb="5">
      <t>ネン</t>
    </rPh>
    <rPh sb="6" eb="7">
      <t>ガツ</t>
    </rPh>
    <phoneticPr fontId="1"/>
  </si>
  <si>
    <t>PW37C-05368</t>
    <phoneticPr fontId="1"/>
  </si>
  <si>
    <t>平成14年5月</t>
    <rPh sb="0" eb="2">
      <t>ヘイセイ</t>
    </rPh>
    <rPh sb="4" eb="5">
      <t>ネン</t>
    </rPh>
    <rPh sb="6" eb="7">
      <t>ガツ</t>
    </rPh>
    <phoneticPr fontId="1"/>
  </si>
  <si>
    <t>FS55JVZ520187</t>
    <phoneticPr fontId="1"/>
  </si>
  <si>
    <t>平成9年1月</t>
    <rPh sb="0" eb="2">
      <t>ヘイセイ</t>
    </rPh>
    <rPh sb="3" eb="4">
      <t>ネン</t>
    </rPh>
    <rPh sb="5" eb="6">
      <t>ガツ</t>
    </rPh>
    <phoneticPr fontId="1"/>
  </si>
  <si>
    <t>FU519UZ500166</t>
    <phoneticPr fontId="1"/>
  </si>
  <si>
    <t>平成16年3月</t>
    <rPh sb="0" eb="2">
      <t>ヘイセイ</t>
    </rPh>
    <rPh sb="4" eb="5">
      <t>ネン</t>
    </rPh>
    <rPh sb="6" eb="7">
      <t>ガツ</t>
    </rPh>
    <phoneticPr fontId="1"/>
  </si>
  <si>
    <t>FK61HKY-765056</t>
    <phoneticPr fontId="1"/>
  </si>
  <si>
    <t>6㌧ユニック</t>
    <phoneticPr fontId="10"/>
  </si>
  <si>
    <t>平成17年6月</t>
    <rPh sb="0" eb="2">
      <t>ヘイセイ</t>
    </rPh>
    <rPh sb="4" eb="5">
      <t>ネン</t>
    </rPh>
    <rPh sb="6" eb="7">
      <t>ガツ</t>
    </rPh>
    <phoneticPr fontId="1"/>
  </si>
  <si>
    <t>MK37A-00693</t>
    <phoneticPr fontId="1"/>
  </si>
  <si>
    <t>平成21年1月</t>
    <rPh sb="0" eb="2">
      <t>ヘイセイ</t>
    </rPh>
    <rPh sb="4" eb="5">
      <t>ネン</t>
    </rPh>
    <rPh sb="6" eb="7">
      <t>ガツ</t>
    </rPh>
    <phoneticPr fontId="1"/>
  </si>
  <si>
    <t>MK37D-15115</t>
    <phoneticPr fontId="1"/>
  </si>
  <si>
    <t>平成20年7月</t>
    <rPh sb="0" eb="2">
      <t>ヘイセイ</t>
    </rPh>
    <rPh sb="4" eb="5">
      <t>ネン</t>
    </rPh>
    <rPh sb="6" eb="7">
      <t>ガツ</t>
    </rPh>
    <phoneticPr fontId="1"/>
  </si>
  <si>
    <t>GW4XLG-20352</t>
    <phoneticPr fontId="1"/>
  </si>
  <si>
    <t>GK4XAB-30624</t>
    <phoneticPr fontId="1"/>
  </si>
  <si>
    <t>平成18年7月</t>
    <rPh sb="0" eb="2">
      <t>ヘイセイ</t>
    </rPh>
    <rPh sb="4" eb="5">
      <t>ネン</t>
    </rPh>
    <rPh sb="6" eb="7">
      <t>ガツ</t>
    </rPh>
    <phoneticPr fontId="1"/>
  </si>
  <si>
    <t>GK4XAB-01858</t>
    <phoneticPr fontId="1"/>
  </si>
  <si>
    <t>平成21年7月</t>
    <rPh sb="0" eb="2">
      <t>ヘイセイ</t>
    </rPh>
    <rPh sb="4" eb="5">
      <t>ネン</t>
    </rPh>
    <rPh sb="6" eb="7">
      <t>ガツ</t>
    </rPh>
    <phoneticPr fontId="1"/>
  </si>
  <si>
    <t>GK4XAB-31152</t>
    <phoneticPr fontId="1"/>
  </si>
  <si>
    <t>平成17年8月</t>
    <rPh sb="0" eb="2">
      <t>ヘイセイ</t>
    </rPh>
    <rPh sb="4" eb="5">
      <t>ネン</t>
    </rPh>
    <rPh sb="6" eb="7">
      <t>ガツ</t>
    </rPh>
    <phoneticPr fontId="1"/>
  </si>
  <si>
    <t>CK482B-33621</t>
    <phoneticPr fontId="1"/>
  </si>
  <si>
    <t>平成17年9月</t>
    <rPh sb="0" eb="2">
      <t>ヘイセイ</t>
    </rPh>
    <rPh sb="4" eb="5">
      <t>ネン</t>
    </rPh>
    <rPh sb="6" eb="7">
      <t>ガツ</t>
    </rPh>
    <phoneticPr fontId="1"/>
  </si>
  <si>
    <t>GK4XAB-00413</t>
    <phoneticPr fontId="1"/>
  </si>
  <si>
    <t>GK4XAB-31393</t>
    <phoneticPr fontId="1"/>
  </si>
  <si>
    <t>(注)　(※)印の点検箇所は、自動車検査証の交付を受けた日又は前回の点検を行った日以降の走行距離が３か月当たり２，000ｋｍ以下の自動車については、行わなくてもよい。</t>
    <rPh sb="1" eb="2">
      <t>チュウ</t>
    </rPh>
    <rPh sb="7" eb="8">
      <t>シルシ</t>
    </rPh>
    <rPh sb="9" eb="11">
      <t>テンケン</t>
    </rPh>
    <rPh sb="11" eb="13">
      <t>カショ</t>
    </rPh>
    <rPh sb="15" eb="18">
      <t>ジドウシャ</t>
    </rPh>
    <rPh sb="18" eb="20">
      <t>ケンサ</t>
    </rPh>
    <rPh sb="20" eb="21">
      <t>ショウ</t>
    </rPh>
    <rPh sb="22" eb="24">
      <t>コウフ</t>
    </rPh>
    <rPh sb="25" eb="26">
      <t>ウ</t>
    </rPh>
    <rPh sb="28" eb="29">
      <t>ヒ</t>
    </rPh>
    <rPh sb="29" eb="30">
      <t>マタ</t>
    </rPh>
    <rPh sb="31" eb="33">
      <t>ゼンカイ</t>
    </rPh>
    <rPh sb="34" eb="36">
      <t>テンケン</t>
    </rPh>
    <rPh sb="37" eb="38">
      <t>オコナ</t>
    </rPh>
    <rPh sb="40" eb="41">
      <t>ヒ</t>
    </rPh>
    <rPh sb="41" eb="43">
      <t>イコウ</t>
    </rPh>
    <rPh sb="44" eb="46">
      <t>ソウコウ</t>
    </rPh>
    <rPh sb="46" eb="48">
      <t>キョリ</t>
    </rPh>
    <rPh sb="51" eb="52">
      <t>ゲツ</t>
    </rPh>
    <rPh sb="52" eb="53">
      <t>ア</t>
    </rPh>
    <rPh sb="62" eb="64">
      <t>イカ</t>
    </rPh>
    <rPh sb="65" eb="67">
      <t>ジドウ</t>
    </rPh>
    <rPh sb="67" eb="68">
      <t>シャ</t>
    </rPh>
    <rPh sb="74" eb="75">
      <t>オコナ</t>
    </rPh>
    <phoneticPr fontId="1"/>
  </si>
  <si>
    <t>GK4XAB-30622</t>
    <phoneticPr fontId="1"/>
  </si>
  <si>
    <t>＋</t>
    <phoneticPr fontId="1"/>
  </si>
  <si>
    <t>ブレーキ・シュー</t>
    <phoneticPr fontId="1"/>
  </si>
  <si>
    <t>ハンドル</t>
    <phoneticPr fontId="1"/>
  </si>
  <si>
    <t>ショック・アブソーバ</t>
    <phoneticPr fontId="1"/>
  </si>
  <si>
    <t>ギヤ・ボックス</t>
    <phoneticPr fontId="1"/>
  </si>
  <si>
    <t>バック・プレート</t>
    <phoneticPr fontId="1"/>
  </si>
  <si>
    <t>クラッチ</t>
    <phoneticPr fontId="1"/>
  </si>
  <si>
    <t>ブレーキ・ディスク</t>
    <phoneticPr fontId="1"/>
  </si>
  <si>
    <t>ポール・ジョイントのダスト・</t>
    <phoneticPr fontId="1"/>
  </si>
  <si>
    <t>ナックル</t>
    <phoneticPr fontId="1"/>
  </si>
  <si>
    <t>トランスファ</t>
    <phoneticPr fontId="1"/>
  </si>
  <si>
    <t>ホイール・アライメント</t>
    <phoneticPr fontId="1"/>
  </si>
  <si>
    <t>センタ・ブレーキ・ドラ</t>
    <phoneticPr fontId="1"/>
  </si>
  <si>
    <t>ム及びライニング</t>
    <phoneticPr fontId="1"/>
  </si>
  <si>
    <t>びドライブ・シャフト</t>
    <phoneticPr fontId="1"/>
  </si>
  <si>
    <t>パワー・ステアリング</t>
    <phoneticPr fontId="1"/>
  </si>
  <si>
    <t>センタ・ベアリングのがた</t>
    <phoneticPr fontId="1"/>
  </si>
  <si>
    <t>デファレンシャル</t>
    <phoneticPr fontId="1"/>
  </si>
  <si>
    <t>ブレーキ・ペダル</t>
    <phoneticPr fontId="1"/>
  </si>
  <si>
    <t>エグゾースト・パイプ</t>
    <phoneticPr fontId="1"/>
  </si>
  <si>
    <t>ホイール</t>
    <phoneticPr fontId="1"/>
  </si>
  <si>
    <t>コンプレッサ、プレッシャ・</t>
    <phoneticPr fontId="1"/>
  </si>
  <si>
    <t>フロント・ホイール・ベアリング</t>
    <phoneticPr fontId="1"/>
  </si>
  <si>
    <t>バッテリ</t>
    <phoneticPr fontId="1"/>
  </si>
  <si>
    <t>レギュレータ、アンローダ・バ</t>
    <phoneticPr fontId="1"/>
  </si>
  <si>
    <t>のがた(※)</t>
    <phoneticPr fontId="1"/>
  </si>
  <si>
    <t>リザーバ・タンク</t>
    <phoneticPr fontId="1"/>
  </si>
  <si>
    <t>リム、サイド･リング、ホイール</t>
    <phoneticPr fontId="1"/>
  </si>
  <si>
    <t>ホイール・ベアリングのがた</t>
    <phoneticPr fontId="1"/>
  </si>
  <si>
    <t>ブレーキ・チャンバ</t>
    <phoneticPr fontId="1"/>
  </si>
  <si>
    <t>ロッドのストローク</t>
    <phoneticPr fontId="1"/>
  </si>
  <si>
    <t>ﾌﾞﾚｰｷﾊﾞﾙﾌﾞ、ｸｲｯｸ･</t>
    <phoneticPr fontId="1"/>
  </si>
  <si>
    <t>ﾘﾚｰ・ﾊﾞﾌﾞﾙ</t>
    <phoneticPr fontId="1"/>
  </si>
  <si>
    <t>エア・サスペンション</t>
    <phoneticPr fontId="1"/>
  </si>
  <si>
    <t>ブレーキ・カム</t>
    <phoneticPr fontId="1"/>
  </si>
  <si>
    <t>(※)</t>
    <phoneticPr fontId="1"/>
  </si>
  <si>
    <t>T</t>
    <phoneticPr fontId="1"/>
  </si>
  <si>
    <t>初度登録</t>
    <rPh sb="0" eb="1">
      <t>ショ</t>
    </rPh>
    <rPh sb="1" eb="2">
      <t>ド</t>
    </rPh>
    <rPh sb="2" eb="4">
      <t>トウロク</t>
    </rPh>
    <phoneticPr fontId="1"/>
  </si>
  <si>
    <t>車台番号</t>
    <rPh sb="0" eb="1">
      <t>シャ</t>
    </rPh>
    <rPh sb="1" eb="2">
      <t>ダイ</t>
    </rPh>
    <rPh sb="2" eb="4">
      <t>バンゴウ</t>
    </rPh>
    <phoneticPr fontId="1"/>
  </si>
  <si>
    <t>ホイール・ナット、ホイール・</t>
    <phoneticPr fontId="1"/>
  </si>
  <si>
    <t>エア・コンプレッサ</t>
    <phoneticPr fontId="1"/>
  </si>
  <si>
    <t>ディストリビュータのキャップ</t>
    <phoneticPr fontId="1"/>
  </si>
  <si>
    <t>マスタ・シリンダ、ホイ</t>
    <phoneticPr fontId="1"/>
  </si>
  <si>
    <t>ディスク・キャリパ</t>
    <phoneticPr fontId="1"/>
  </si>
  <si>
    <t>エア・クリーナ・エレメントの</t>
    <phoneticPr fontId="1"/>
  </si>
  <si>
    <t>コイル・サスペンション</t>
    <phoneticPr fontId="1"/>
  </si>
  <si>
    <t>レ</t>
    <phoneticPr fontId="1"/>
  </si>
  <si>
    <t>×</t>
    <phoneticPr fontId="1"/>
  </si>
  <si>
    <t>○</t>
    <phoneticPr fontId="1"/>
  </si>
  <si>
    <t>△</t>
    <phoneticPr fontId="1"/>
  </si>
  <si>
    <t>A</t>
    <phoneticPr fontId="1"/>
  </si>
  <si>
    <t>C</t>
    <phoneticPr fontId="1"/>
  </si>
  <si>
    <t>ＣＯ</t>
    <phoneticPr fontId="1"/>
  </si>
  <si>
    <t>％</t>
    <phoneticPr fontId="1"/>
  </si>
  <si>
    <t>L</t>
    <phoneticPr fontId="1"/>
  </si>
  <si>
    <t>ＨＣ</t>
    <phoneticPr fontId="1"/>
  </si>
  <si>
    <t>ｐｐｍ</t>
    <phoneticPr fontId="1"/>
  </si>
  <si>
    <t>車　　名</t>
  </si>
  <si>
    <t>原動機の型式</t>
  </si>
  <si>
    <t>備考</t>
  </si>
  <si>
    <t>FW2PBH10018</t>
    <phoneticPr fontId="1"/>
  </si>
  <si>
    <t>5.8.11</t>
    <phoneticPr fontId="1"/>
  </si>
  <si>
    <t>初度登録年</t>
    <phoneticPr fontId="1"/>
  </si>
  <si>
    <t>4D33</t>
    <phoneticPr fontId="1"/>
  </si>
  <si>
    <t>平成5年2月</t>
    <rPh sb="0" eb="2">
      <t>ヘイセイ</t>
    </rPh>
    <rPh sb="3" eb="4">
      <t>ネン</t>
    </rPh>
    <rPh sb="5" eb="6">
      <t>ガツ</t>
    </rPh>
    <phoneticPr fontId="1"/>
  </si>
  <si>
    <t>FE437E582106</t>
    <phoneticPr fontId="1"/>
  </si>
  <si>
    <t>三河100き247</t>
  </si>
  <si>
    <t>三河100き419</t>
  </si>
  <si>
    <t>三河100き575</t>
  </si>
  <si>
    <t>三河100き576</t>
  </si>
  <si>
    <t>三河100き579</t>
  </si>
  <si>
    <t>三河100き581</t>
  </si>
  <si>
    <t>三河100あ4096</t>
  </si>
  <si>
    <t>滋賀100か5595</t>
  </si>
  <si>
    <t>滋賀100か5608</t>
  </si>
  <si>
    <t>滋賀100か5609</t>
  </si>
  <si>
    <t>滋賀100か5910</t>
  </si>
  <si>
    <t>滋賀100か6079</t>
  </si>
  <si>
    <t>滋賀100か6094</t>
  </si>
  <si>
    <t>滋賀100か6114</t>
  </si>
  <si>
    <t>滋賀100か6148</t>
  </si>
  <si>
    <t>滋賀100か6173</t>
  </si>
  <si>
    <t>三河100か7132</t>
  </si>
  <si>
    <t>滋賀100あ7550</t>
  </si>
  <si>
    <t>三河100か8217</t>
  </si>
  <si>
    <t>三河100か9606</t>
  </si>
  <si>
    <t>三河100か9756</t>
  </si>
  <si>
    <t>ID</t>
    <phoneticPr fontId="10"/>
  </si>
  <si>
    <t>車番</t>
    <rPh sb="0" eb="1">
      <t>シャ</t>
    </rPh>
    <rPh sb="1" eb="2">
      <t>バン</t>
    </rPh>
    <phoneticPr fontId="10"/>
  </si>
  <si>
    <t>自動車登録番号</t>
    <phoneticPr fontId="1"/>
  </si>
  <si>
    <t>車台番号</t>
    <phoneticPr fontId="1"/>
  </si>
  <si>
    <t>車番入力</t>
    <rPh sb="0" eb="1">
      <t>シャ</t>
    </rPh>
    <rPh sb="1" eb="2">
      <t>バン</t>
    </rPh>
    <rPh sb="2" eb="4">
      <t>ニュウリョク</t>
    </rPh>
    <phoneticPr fontId="1"/>
  </si>
  <si>
    <t>ワイズ通商　株式会社</t>
    <rPh sb="3" eb="5">
      <t>ツウショウ</t>
    </rPh>
    <rPh sb="6" eb="10">
      <t>カブシキガイシャ</t>
    </rPh>
    <phoneticPr fontId="1"/>
  </si>
  <si>
    <t>平成18年12月</t>
    <rPh sb="0" eb="2">
      <t>ヘイセイ</t>
    </rPh>
    <rPh sb="4" eb="5">
      <t>ネン</t>
    </rPh>
    <rPh sb="7" eb="8">
      <t>ガツ</t>
    </rPh>
    <phoneticPr fontId="1"/>
  </si>
  <si>
    <t>平成19年1月</t>
    <rPh sb="0" eb="2">
      <t>ヘイセイ</t>
    </rPh>
    <rPh sb="4" eb="5">
      <t>ネン</t>
    </rPh>
    <rPh sb="6" eb="7">
      <t>ガツ</t>
    </rPh>
    <phoneticPr fontId="1"/>
  </si>
  <si>
    <t>平成19年2月</t>
    <rPh sb="0" eb="2">
      <t>ヘイセイ</t>
    </rPh>
    <rPh sb="4" eb="5">
      <t>ネン</t>
    </rPh>
    <rPh sb="6" eb="7">
      <t>ガツ</t>
    </rPh>
    <phoneticPr fontId="1"/>
  </si>
  <si>
    <t>平成19年5月</t>
    <rPh sb="0" eb="2">
      <t>ヘイセイ</t>
    </rPh>
    <rPh sb="4" eb="5">
      <t>ネン</t>
    </rPh>
    <rPh sb="6" eb="7">
      <t>ガツ</t>
    </rPh>
    <phoneticPr fontId="1"/>
  </si>
  <si>
    <t>平成17年11月</t>
    <rPh sb="0" eb="2">
      <t>ヘイセイ</t>
    </rPh>
    <rPh sb="4" eb="5">
      <t>ネン</t>
    </rPh>
    <rPh sb="7" eb="8">
      <t>ガツ</t>
    </rPh>
    <phoneticPr fontId="1"/>
  </si>
  <si>
    <t>平成18年5月</t>
    <rPh sb="0" eb="2">
      <t>ヘイセイ</t>
    </rPh>
    <rPh sb="4" eb="5">
      <t>ネン</t>
    </rPh>
    <rPh sb="6" eb="7">
      <t>ガツ</t>
    </rPh>
    <phoneticPr fontId="1"/>
  </si>
  <si>
    <t>愛知県碧南市吹上町4丁目1-9</t>
    <rPh sb="0" eb="3">
      <t>アイチケン</t>
    </rPh>
    <rPh sb="3" eb="6">
      <t>ヘキナンシ</t>
    </rPh>
    <rPh sb="6" eb="9">
      <t>フキアゲチョウ</t>
    </rPh>
    <rPh sb="10" eb="12">
      <t>チョウメ</t>
    </rPh>
    <phoneticPr fontId="1"/>
  </si>
  <si>
    <t>平成17年10月</t>
    <rPh sb="0" eb="2">
      <t>ヘイセイ</t>
    </rPh>
    <rPh sb="4" eb="5">
      <t>ネン</t>
    </rPh>
    <rPh sb="7" eb="8">
      <t>ガツ</t>
    </rPh>
    <phoneticPr fontId="1"/>
  </si>
  <si>
    <t>ADG-CG4ZA</t>
    <phoneticPr fontId="10"/>
  </si>
  <si>
    <t>CG4ZA-01065</t>
    <phoneticPr fontId="1"/>
  </si>
  <si>
    <t>4軸低床平</t>
    <rPh sb="1" eb="2">
      <t>ジク</t>
    </rPh>
    <rPh sb="2" eb="3">
      <t>テイ</t>
    </rPh>
    <rPh sb="3" eb="4">
      <t>ユカ</t>
    </rPh>
    <rPh sb="4" eb="5">
      <t>ヒラ</t>
    </rPh>
    <phoneticPr fontId="10"/>
  </si>
  <si>
    <t>PJ-FS54JZ</t>
    <phoneticPr fontId="10"/>
  </si>
  <si>
    <t>FS54JZ-542354</t>
    <phoneticPr fontId="1"/>
  </si>
  <si>
    <t>GK4XAB-00562</t>
    <phoneticPr fontId="1"/>
  </si>
  <si>
    <t>PJ-FT54JX</t>
    <phoneticPr fontId="10"/>
  </si>
  <si>
    <t>FT54JX-540076</t>
    <phoneticPr fontId="1"/>
  </si>
  <si>
    <t>高床岡通幌W　10ｍ</t>
    <rPh sb="0" eb="2">
      <t>コウショウ</t>
    </rPh>
    <rPh sb="2" eb="3">
      <t>オカ</t>
    </rPh>
    <rPh sb="3" eb="4">
      <t>ツウ</t>
    </rPh>
    <rPh sb="4" eb="5">
      <t>ホロ</t>
    </rPh>
    <phoneticPr fontId="10"/>
  </si>
  <si>
    <t>FT54JX-540093</t>
    <phoneticPr fontId="1"/>
  </si>
  <si>
    <t>PK-FN2PWJA</t>
    <phoneticPr fontId="10"/>
  </si>
  <si>
    <t>FN2PWJ-13564</t>
    <phoneticPr fontId="1"/>
  </si>
  <si>
    <t>KL-FT54JWZ</t>
    <phoneticPr fontId="10"/>
  </si>
  <si>
    <t>FT54JWZ-530195</t>
    <phoneticPr fontId="1"/>
  </si>
  <si>
    <t>トヨタ</t>
    <phoneticPr fontId="10"/>
  </si>
  <si>
    <t>N04C</t>
    <phoneticPr fontId="1"/>
  </si>
  <si>
    <t>PB-XZU348</t>
    <phoneticPr fontId="10"/>
  </si>
  <si>
    <t>XZU348-1000036</t>
    <phoneticPr fontId="1"/>
  </si>
  <si>
    <t>2㌧平</t>
    <rPh sb="2" eb="3">
      <t>ヒラ</t>
    </rPh>
    <phoneticPr fontId="10"/>
  </si>
  <si>
    <t>滋賀100か6108</t>
  </si>
  <si>
    <t>三河100か7532</t>
  </si>
  <si>
    <t>三河100か8934</t>
  </si>
  <si>
    <t>三河100か8935</t>
  </si>
  <si>
    <t>三河100か9181</t>
  </si>
  <si>
    <t>三河100か9208</t>
  </si>
  <si>
    <t>滋賀100あ6312</t>
  </si>
  <si>
    <t>会社名</t>
    <rPh sb="0" eb="3">
      <t>カイシャメイ</t>
    </rPh>
    <phoneticPr fontId="10"/>
  </si>
  <si>
    <t>住所</t>
    <rPh sb="0" eb="2">
      <t>ジュウショ</t>
    </rPh>
    <phoneticPr fontId="10"/>
  </si>
  <si>
    <t>点検者</t>
    <rPh sb="0" eb="2">
      <t>テンケン</t>
    </rPh>
    <rPh sb="2" eb="3">
      <t>シャ</t>
    </rPh>
    <phoneticPr fontId="10"/>
  </si>
  <si>
    <t>8.11.2</t>
    <phoneticPr fontId="1"/>
  </si>
  <si>
    <t>3.6.9</t>
    <phoneticPr fontId="1"/>
  </si>
  <si>
    <t>4.7.10</t>
    <phoneticPr fontId="1"/>
  </si>
  <si>
    <t>2.5.8</t>
    <phoneticPr fontId="1"/>
  </si>
  <si>
    <t>9.12.3</t>
    <phoneticPr fontId="1"/>
  </si>
  <si>
    <t>6.9.12</t>
    <phoneticPr fontId="1"/>
  </si>
  <si>
    <t>10.1.4</t>
    <phoneticPr fontId="1"/>
  </si>
  <si>
    <t>7.10.1</t>
    <phoneticPr fontId="1"/>
  </si>
  <si>
    <r>
      <t>1</t>
    </r>
    <r>
      <rPr>
        <sz val="11"/>
        <rFont val="ＭＳ Ｐ明朝"/>
        <family val="1"/>
        <charset val="128"/>
      </rPr>
      <t>0.1.4</t>
    </r>
    <phoneticPr fontId="1"/>
  </si>
  <si>
    <t>岐阜400あ</t>
    <rPh sb="0" eb="2">
      <t>ギフ</t>
    </rPh>
    <phoneticPr fontId="10"/>
  </si>
  <si>
    <t>ニッサン</t>
    <phoneticPr fontId="10"/>
  </si>
  <si>
    <t>CBF-VFY11</t>
    <phoneticPr fontId="10"/>
  </si>
  <si>
    <t>ADバン</t>
    <phoneticPr fontId="10"/>
  </si>
  <si>
    <t>UB-NCP50V</t>
    <phoneticPr fontId="10"/>
  </si>
  <si>
    <t>プロボックス</t>
    <phoneticPr fontId="10"/>
  </si>
  <si>
    <t>平成15年11月</t>
    <rPh sb="0" eb="2">
      <t>ヘイセイ</t>
    </rPh>
    <rPh sb="4" eb="5">
      <t>ネン</t>
    </rPh>
    <rPh sb="7" eb="8">
      <t>ガツ</t>
    </rPh>
    <phoneticPr fontId="1"/>
  </si>
  <si>
    <t>QG15</t>
    <phoneticPr fontId="1"/>
  </si>
  <si>
    <t>VFY11-715250</t>
    <phoneticPr fontId="1"/>
  </si>
  <si>
    <t>NCP50-0021414</t>
    <phoneticPr fontId="1"/>
  </si>
  <si>
    <t>岐阜100い</t>
    <rPh sb="0" eb="2">
      <t>ギフ</t>
    </rPh>
    <phoneticPr fontId="10"/>
  </si>
  <si>
    <t>KK-FD1JLDA</t>
    <phoneticPr fontId="10"/>
  </si>
  <si>
    <t>4ｔ平</t>
    <rPh sb="2" eb="3">
      <t>ヒラ</t>
    </rPh>
    <phoneticPr fontId="10"/>
  </si>
  <si>
    <t>岐阜100き</t>
    <rPh sb="0" eb="2">
      <t>ギフ</t>
    </rPh>
    <phoneticPr fontId="10"/>
  </si>
  <si>
    <t>日産ディーゼル</t>
    <rPh sb="0" eb="2">
      <t>ニッサン</t>
    </rPh>
    <phoneticPr fontId="10"/>
  </si>
  <si>
    <t>岐阜11い</t>
    <rPh sb="0" eb="2">
      <t>ギフ</t>
    </rPh>
    <phoneticPr fontId="10"/>
  </si>
  <si>
    <t>いすゞ</t>
    <phoneticPr fontId="10"/>
  </si>
  <si>
    <t>KC-CYZ82V2</t>
    <phoneticPr fontId="10"/>
  </si>
  <si>
    <t>増㌧平</t>
    <rPh sb="0" eb="1">
      <t>ゾウ</t>
    </rPh>
    <rPh sb="2" eb="3">
      <t>ヒラ</t>
    </rPh>
    <phoneticPr fontId="10"/>
  </si>
  <si>
    <t>P-CXZ19T</t>
    <phoneticPr fontId="10"/>
  </si>
  <si>
    <t>CYZ82V23000010</t>
    <phoneticPr fontId="1"/>
  </si>
  <si>
    <t>昭和61年4月</t>
    <rPh sb="0" eb="2">
      <t>ショウワ</t>
    </rPh>
    <rPh sb="4" eb="5">
      <t>ネン</t>
    </rPh>
    <rPh sb="6" eb="7">
      <t>ガツ</t>
    </rPh>
    <phoneticPr fontId="1"/>
  </si>
  <si>
    <t>CXZ19T-2016124</t>
    <phoneticPr fontId="1"/>
  </si>
  <si>
    <t>平成19年3月</t>
    <rPh sb="0" eb="2">
      <t>ヘイセイ</t>
    </rPh>
    <rPh sb="4" eb="5">
      <t>ネン</t>
    </rPh>
    <rPh sb="6" eb="7">
      <t>ガツ</t>
    </rPh>
    <phoneticPr fontId="1"/>
  </si>
  <si>
    <t>CG４ZA-01755</t>
    <phoneticPr fontId="1"/>
  </si>
  <si>
    <t>平成14年3月</t>
    <rPh sb="0" eb="2">
      <t>ヘイセイ</t>
    </rPh>
    <rPh sb="4" eb="5">
      <t>ネン</t>
    </rPh>
    <rPh sb="6" eb="7">
      <t>ガツ</t>
    </rPh>
    <phoneticPr fontId="1"/>
  </si>
  <si>
    <t>FD1JLD16438</t>
    <phoneticPr fontId="1"/>
  </si>
  <si>
    <t>代表取締役　小寺　淳史</t>
    <rPh sb="0" eb="2">
      <t>ダイヒョウ</t>
    </rPh>
    <rPh sb="2" eb="5">
      <t>トリシマリヤク</t>
    </rPh>
    <rPh sb="6" eb="8">
      <t>コテラ</t>
    </rPh>
    <rPh sb="9" eb="11">
      <t>アツシ</t>
    </rPh>
    <phoneticPr fontId="1"/>
  </si>
  <si>
    <t>三河100き</t>
    <rPh sb="0" eb="2">
      <t>ミカワ</t>
    </rPh>
    <phoneticPr fontId="1"/>
  </si>
  <si>
    <t>三菱</t>
    <rPh sb="0" eb="2">
      <t>ミツビシ</t>
    </rPh>
    <phoneticPr fontId="1"/>
  </si>
  <si>
    <t>6R10</t>
    <phoneticPr fontId="1"/>
  </si>
  <si>
    <t>平成24年11月</t>
    <rPh sb="0" eb="2">
      <t>ヘイセイ</t>
    </rPh>
    <rPh sb="4" eb="5">
      <t>ネン</t>
    </rPh>
    <rPh sb="7" eb="8">
      <t>ガツ</t>
    </rPh>
    <phoneticPr fontId="1"/>
  </si>
  <si>
    <t>QDG-FV50VJR</t>
    <phoneticPr fontId="1"/>
  </si>
  <si>
    <t>FV50VJ-520093</t>
    <phoneticPr fontId="1"/>
  </si>
  <si>
    <t>平成14年9月</t>
    <rPh sb="0" eb="2">
      <t>ヘイセイ</t>
    </rPh>
    <rPh sb="4" eb="5">
      <t>ネン</t>
    </rPh>
    <rPh sb="6" eb="7">
      <t>ガツ</t>
    </rPh>
    <phoneticPr fontId="1"/>
  </si>
  <si>
    <t>KL-FP54JDR</t>
    <phoneticPr fontId="1"/>
  </si>
  <si>
    <t>FP54JD520752</t>
    <phoneticPr fontId="1"/>
  </si>
  <si>
    <t>三河11え</t>
    <rPh sb="0" eb="2">
      <t>ミカワ</t>
    </rPh>
    <phoneticPr fontId="1"/>
  </si>
  <si>
    <t>トレールモービル</t>
    <phoneticPr fontId="1"/>
  </si>
  <si>
    <t>平成8年3月</t>
    <rPh sb="0" eb="2">
      <t>ヘイセイ</t>
    </rPh>
    <rPh sb="3" eb="4">
      <t>ネン</t>
    </rPh>
    <rPh sb="5" eb="6">
      <t>ガツ</t>
    </rPh>
    <phoneticPr fontId="1"/>
  </si>
  <si>
    <t>P339YG</t>
    <phoneticPr fontId="1"/>
  </si>
  <si>
    <t>愛[51]6226愛</t>
    <rPh sb="0" eb="1">
      <t>アイ</t>
    </rPh>
    <rPh sb="9" eb="10">
      <t>アイ</t>
    </rPh>
    <phoneticPr fontId="1"/>
  </si>
  <si>
    <t>三河100え</t>
    <rPh sb="0" eb="2">
      <t>ミカワ</t>
    </rPh>
    <phoneticPr fontId="1"/>
  </si>
  <si>
    <t>東急</t>
    <rPh sb="0" eb="2">
      <t>トウキュウ</t>
    </rPh>
    <phoneticPr fontId="1"/>
  </si>
  <si>
    <t>平成4年2月</t>
    <rPh sb="0" eb="2">
      <t>ヘイセイ</t>
    </rPh>
    <rPh sb="3" eb="4">
      <t>ネン</t>
    </rPh>
    <rPh sb="5" eb="6">
      <t>ガツ</t>
    </rPh>
    <phoneticPr fontId="1"/>
  </si>
  <si>
    <t>TD251-51</t>
    <phoneticPr fontId="1"/>
  </si>
  <si>
    <t>広[71]2210広</t>
    <rPh sb="0" eb="1">
      <t>ヒロ</t>
    </rPh>
    <rPh sb="9" eb="10">
      <t>ヒロ</t>
    </rPh>
    <phoneticPr fontId="1"/>
  </si>
  <si>
    <t>日通</t>
    <rPh sb="0" eb="2">
      <t>ニッツウ</t>
    </rPh>
    <phoneticPr fontId="1"/>
  </si>
  <si>
    <t>平成20年9月</t>
    <rPh sb="0" eb="2">
      <t>ヘイセイ</t>
    </rPh>
    <rPh sb="4" eb="5">
      <t>ネン</t>
    </rPh>
    <rPh sb="6" eb="7">
      <t>ガツ</t>
    </rPh>
    <phoneticPr fontId="1"/>
  </si>
  <si>
    <t>愛［51］8272愛</t>
    <rPh sb="0" eb="1">
      <t>アイ</t>
    </rPh>
    <rPh sb="9" eb="10">
      <t>アイ</t>
    </rPh>
    <phoneticPr fontId="1"/>
  </si>
  <si>
    <t>NT35D017</t>
    <phoneticPr fontId="1"/>
  </si>
  <si>
    <t>滋賀100え</t>
    <rPh sb="0" eb="2">
      <t>シガ</t>
    </rPh>
    <phoneticPr fontId="1"/>
  </si>
  <si>
    <t>フルハーフ</t>
    <phoneticPr fontId="1"/>
  </si>
  <si>
    <t>平成20年6月</t>
    <rPh sb="0" eb="2">
      <t>ヘイセイ</t>
    </rPh>
    <rPh sb="4" eb="5">
      <t>ネン</t>
    </rPh>
    <rPh sb="6" eb="7">
      <t>ガツ</t>
    </rPh>
    <phoneticPr fontId="1"/>
  </si>
  <si>
    <t>DFPFH341A</t>
    <phoneticPr fontId="1"/>
  </si>
  <si>
    <t>DFPFH341A-20296</t>
    <phoneticPr fontId="1"/>
  </si>
  <si>
    <t>DFPFH341A-20297</t>
    <phoneticPr fontId="1"/>
  </si>
  <si>
    <t>平成20年8月</t>
    <rPh sb="0" eb="2">
      <t>ヘイセイ</t>
    </rPh>
    <rPh sb="4" eb="5">
      <t>ネン</t>
    </rPh>
    <rPh sb="6" eb="7">
      <t>ガツ</t>
    </rPh>
    <phoneticPr fontId="1"/>
  </si>
  <si>
    <t>NT28F003</t>
    <phoneticPr fontId="1"/>
  </si>
  <si>
    <t>賀[64]887賀</t>
    <rPh sb="0" eb="1">
      <t>カ</t>
    </rPh>
    <rPh sb="8" eb="9">
      <t>カ</t>
    </rPh>
    <phoneticPr fontId="1"/>
  </si>
  <si>
    <t>賀[64]886賀</t>
    <rPh sb="0" eb="1">
      <t>カ</t>
    </rPh>
    <rPh sb="8" eb="9">
      <t>カ</t>
    </rPh>
    <phoneticPr fontId="1"/>
  </si>
  <si>
    <t>平成20年12月</t>
    <rPh sb="0" eb="2">
      <t>ヘイセイ</t>
    </rPh>
    <rPh sb="4" eb="5">
      <t>ネン</t>
    </rPh>
    <rPh sb="7" eb="8">
      <t>ガツ</t>
    </rPh>
    <phoneticPr fontId="1"/>
  </si>
  <si>
    <t>NT28F005</t>
    <phoneticPr fontId="1"/>
  </si>
  <si>
    <t>賀[64]8128賀</t>
    <rPh sb="0" eb="1">
      <t>カ</t>
    </rPh>
    <rPh sb="9" eb="10">
      <t>カ</t>
    </rPh>
    <phoneticPr fontId="1"/>
  </si>
  <si>
    <t>平成21年6月</t>
    <rPh sb="0" eb="2">
      <t>ヘイセイ</t>
    </rPh>
    <rPh sb="4" eb="5">
      <t>ネン</t>
    </rPh>
    <rPh sb="6" eb="7">
      <t>ガツ</t>
    </rPh>
    <phoneticPr fontId="1"/>
  </si>
  <si>
    <t>賀[64]974賀</t>
    <rPh sb="0" eb="1">
      <t>カ</t>
    </rPh>
    <rPh sb="8" eb="9">
      <t>カ</t>
    </rPh>
    <phoneticPr fontId="1"/>
  </si>
  <si>
    <t>賀[64]975賀</t>
    <rPh sb="0" eb="1">
      <t>カ</t>
    </rPh>
    <rPh sb="8" eb="9">
      <t>カ</t>
    </rPh>
    <phoneticPr fontId="1"/>
  </si>
  <si>
    <t>賀[64]976賀</t>
    <rPh sb="0" eb="1">
      <t>カ</t>
    </rPh>
    <rPh sb="8" eb="9">
      <t>カ</t>
    </rPh>
    <phoneticPr fontId="1"/>
  </si>
  <si>
    <t>カリン</t>
    <phoneticPr fontId="1"/>
  </si>
  <si>
    <t>平成8年12月</t>
    <rPh sb="0" eb="2">
      <t>ヘイセイ</t>
    </rPh>
    <rPh sb="3" eb="4">
      <t>ネン</t>
    </rPh>
    <rPh sb="6" eb="7">
      <t>ガツ</t>
    </rPh>
    <phoneticPr fontId="1"/>
  </si>
  <si>
    <t>不明</t>
    <rPh sb="0" eb="2">
      <t>フメイ</t>
    </rPh>
    <phoneticPr fontId="1"/>
  </si>
  <si>
    <t>静［52］62594静</t>
    <rPh sb="0" eb="1">
      <t>セイ</t>
    </rPh>
    <rPh sb="10" eb="11">
      <t>セイ</t>
    </rPh>
    <phoneticPr fontId="1"/>
  </si>
  <si>
    <t>ユソーキ</t>
    <phoneticPr fontId="1"/>
  </si>
  <si>
    <t>平成16年4月</t>
    <rPh sb="0" eb="2">
      <t>ヘイセイ</t>
    </rPh>
    <rPh sb="4" eb="5">
      <t>ネン</t>
    </rPh>
    <rPh sb="6" eb="7">
      <t>ガツ</t>
    </rPh>
    <phoneticPr fontId="1"/>
  </si>
  <si>
    <t>YFS2206</t>
    <phoneticPr fontId="1"/>
  </si>
  <si>
    <t>YFS2206-0112</t>
    <phoneticPr fontId="1"/>
  </si>
  <si>
    <t>ダブル</t>
    <phoneticPr fontId="1"/>
  </si>
  <si>
    <t>鉄板張り高床</t>
    <rPh sb="0" eb="3">
      <t>テッパンハ</t>
    </rPh>
    <rPh sb="4" eb="6">
      <t>コウショウ</t>
    </rPh>
    <phoneticPr fontId="1"/>
  </si>
  <si>
    <t>低床8輪</t>
    <rPh sb="0" eb="2">
      <t>テイショウ</t>
    </rPh>
    <rPh sb="3" eb="4">
      <t>リン</t>
    </rPh>
    <phoneticPr fontId="1"/>
  </si>
  <si>
    <t>低床16輪</t>
    <rPh sb="0" eb="2">
      <t>テイショウ</t>
    </rPh>
    <rPh sb="4" eb="5">
      <t>リン</t>
    </rPh>
    <phoneticPr fontId="1"/>
  </si>
  <si>
    <t>木張り高床</t>
    <rPh sb="0" eb="1">
      <t>モク</t>
    </rPh>
    <rPh sb="1" eb="2">
      <t>ハ</t>
    </rPh>
    <rPh sb="3" eb="5">
      <t>コウショウ</t>
    </rPh>
    <phoneticPr fontId="1"/>
  </si>
  <si>
    <t>木張り高床</t>
    <rPh sb="0" eb="2">
      <t>モクハ</t>
    </rPh>
    <rPh sb="3" eb="5">
      <t>コウショウ</t>
    </rPh>
    <phoneticPr fontId="1"/>
  </si>
  <si>
    <t>木張り中低</t>
    <rPh sb="0" eb="2">
      <t>モクハ</t>
    </rPh>
    <rPh sb="3" eb="5">
      <t>チュウテイ</t>
    </rPh>
    <phoneticPr fontId="1"/>
  </si>
  <si>
    <t>チビトレ</t>
    <phoneticPr fontId="1"/>
  </si>
  <si>
    <t>ウィング台車</t>
    <rPh sb="4" eb="6">
      <t>ダイシャ</t>
    </rPh>
    <phoneticPr fontId="1"/>
  </si>
  <si>
    <t>平成15年10月</t>
    <rPh sb="0" eb="2">
      <t>ヘイセイ</t>
    </rPh>
    <rPh sb="4" eb="5">
      <t>ネン</t>
    </rPh>
    <rPh sb="7" eb="8">
      <t>ガツ</t>
    </rPh>
    <phoneticPr fontId="1"/>
  </si>
  <si>
    <t>YFS2204改</t>
    <rPh sb="7" eb="8">
      <t>カイ</t>
    </rPh>
    <phoneticPr fontId="1"/>
  </si>
  <si>
    <t>YFS2204835</t>
    <phoneticPr fontId="1"/>
  </si>
  <si>
    <t>アオリ台車</t>
    <rPh sb="3" eb="5">
      <t>ダイシャ</t>
    </rPh>
    <phoneticPr fontId="1"/>
  </si>
  <si>
    <t>日野</t>
    <rPh sb="0" eb="2">
      <t>ヒノ</t>
    </rPh>
    <phoneticPr fontId="1"/>
  </si>
  <si>
    <t>平成18年1月</t>
    <rPh sb="0" eb="2">
      <t>ヘイセイ</t>
    </rPh>
    <rPh sb="4" eb="5">
      <t>ネン</t>
    </rPh>
    <rPh sb="6" eb="7">
      <t>ガツ</t>
    </rPh>
    <phoneticPr fontId="1"/>
  </si>
  <si>
    <t>KS-FN2PWJA</t>
    <phoneticPr fontId="1"/>
  </si>
  <si>
    <t>FN2PWJ-12303</t>
    <phoneticPr fontId="1"/>
  </si>
  <si>
    <t>高床幌W　9.6ｍ</t>
    <rPh sb="0" eb="2">
      <t>コウショウ</t>
    </rPh>
    <rPh sb="2" eb="3">
      <t>ポロ</t>
    </rPh>
    <phoneticPr fontId="1"/>
  </si>
  <si>
    <t>PJ-FS54JZ</t>
    <phoneticPr fontId="1"/>
  </si>
  <si>
    <t>FS54JZ-542078</t>
    <phoneticPr fontId="1"/>
  </si>
  <si>
    <t>低床アルミW　9.6ｍ</t>
    <rPh sb="0" eb="2">
      <t>テイショウ</t>
    </rPh>
    <phoneticPr fontId="1"/>
  </si>
  <si>
    <t>ニッサンディーゼル</t>
    <phoneticPr fontId="1"/>
  </si>
  <si>
    <t>PB-MK37A</t>
    <phoneticPr fontId="1"/>
  </si>
  <si>
    <t>4㌧ウィング</t>
    <phoneticPr fontId="1"/>
  </si>
  <si>
    <t>平成24年7月</t>
    <rPh sb="0" eb="2">
      <t>ヘイセイ</t>
    </rPh>
    <rPh sb="4" eb="5">
      <t>ネン</t>
    </rPh>
    <rPh sb="6" eb="7">
      <t>ガツ</t>
    </rPh>
    <phoneticPr fontId="1"/>
  </si>
  <si>
    <t>QKG-FS54VZ</t>
    <phoneticPr fontId="1"/>
  </si>
  <si>
    <t>FS54VZ-520188</t>
    <phoneticPr fontId="1"/>
  </si>
  <si>
    <t>4軸低床平</t>
    <rPh sb="1" eb="2">
      <t>ジク</t>
    </rPh>
    <rPh sb="2" eb="4">
      <t>テイショウ</t>
    </rPh>
    <rPh sb="4" eb="5">
      <t>ヒラ</t>
    </rPh>
    <phoneticPr fontId="1"/>
  </si>
  <si>
    <t>FS54VZ-520189</t>
    <phoneticPr fontId="1"/>
  </si>
  <si>
    <t>宮城100き</t>
    <rPh sb="0" eb="2">
      <t>ミヤギ</t>
    </rPh>
    <phoneticPr fontId="1"/>
  </si>
  <si>
    <t>増㌧ウィング</t>
    <rPh sb="0" eb="1">
      <t>ゾウ</t>
    </rPh>
    <phoneticPr fontId="1"/>
  </si>
  <si>
    <t>平成18年2月</t>
    <rPh sb="0" eb="2">
      <t>ヘイセイ</t>
    </rPh>
    <rPh sb="4" eb="5">
      <t>ネン</t>
    </rPh>
    <rPh sb="6" eb="7">
      <t>ガツ</t>
    </rPh>
    <phoneticPr fontId="1"/>
  </si>
  <si>
    <t>ADG-CG4ZA</t>
    <phoneticPr fontId="1"/>
  </si>
  <si>
    <t>宮城400あ</t>
    <rPh sb="0" eb="2">
      <t>ミヤギ</t>
    </rPh>
    <phoneticPr fontId="1"/>
  </si>
  <si>
    <t>トヨタ</t>
    <phoneticPr fontId="1"/>
  </si>
  <si>
    <t>1NZ</t>
    <phoneticPr fontId="1"/>
  </si>
  <si>
    <t>CBE-NCP51V</t>
    <phoneticPr fontId="1"/>
  </si>
  <si>
    <t>NCP51-0060252</t>
    <phoneticPr fontId="1"/>
  </si>
  <si>
    <t>サクシード</t>
    <phoneticPr fontId="1"/>
  </si>
  <si>
    <t>ニッサン</t>
    <phoneticPr fontId="1"/>
  </si>
  <si>
    <t>平成11年6月</t>
    <rPh sb="0" eb="2">
      <t>ヘイセイ</t>
    </rPh>
    <rPh sb="4" eb="5">
      <t>ネン</t>
    </rPh>
    <rPh sb="6" eb="7">
      <t>ガツ</t>
    </rPh>
    <phoneticPr fontId="1"/>
  </si>
  <si>
    <t>GC-VW11</t>
    <phoneticPr fontId="1"/>
  </si>
  <si>
    <t>VW11-001182</t>
    <phoneticPr fontId="1"/>
  </si>
  <si>
    <t>QG18</t>
    <phoneticPr fontId="1"/>
  </si>
  <si>
    <t>エキスパート</t>
    <phoneticPr fontId="1"/>
  </si>
  <si>
    <t>岐阜900さ</t>
    <rPh sb="0" eb="2">
      <t>ギフ</t>
    </rPh>
    <phoneticPr fontId="1"/>
  </si>
  <si>
    <t>カトウ</t>
    <phoneticPr fontId="1"/>
  </si>
  <si>
    <t>W04C</t>
    <phoneticPr fontId="1"/>
  </si>
  <si>
    <t>平成10年7月</t>
    <rPh sb="0" eb="2">
      <t>ヘイセイ</t>
    </rPh>
    <rPh sb="4" eb="5">
      <t>ネン</t>
    </rPh>
    <rPh sb="6" eb="7">
      <t>ガツ</t>
    </rPh>
    <phoneticPr fontId="1"/>
  </si>
  <si>
    <t>KR102</t>
    <phoneticPr fontId="1"/>
  </si>
  <si>
    <t>KR102-0227</t>
    <phoneticPr fontId="1"/>
  </si>
  <si>
    <t>ホイール・クレーン</t>
    <phoneticPr fontId="1"/>
  </si>
  <si>
    <t>習志野100い</t>
    <rPh sb="0" eb="3">
      <t>ナラシノ</t>
    </rPh>
    <phoneticPr fontId="1"/>
  </si>
  <si>
    <t>いすゞ</t>
    <phoneticPr fontId="1"/>
  </si>
  <si>
    <t>4HF1</t>
    <phoneticPr fontId="1"/>
  </si>
  <si>
    <t>KK-NKR66LAV</t>
    <phoneticPr fontId="1"/>
  </si>
  <si>
    <t>2ｔ箱PG</t>
    <rPh sb="2" eb="3">
      <t>ハコ</t>
    </rPh>
    <phoneticPr fontId="10"/>
  </si>
  <si>
    <t>12PE1</t>
    <phoneticPr fontId="1"/>
  </si>
  <si>
    <t>10PC1</t>
    <phoneticPr fontId="1"/>
  </si>
  <si>
    <t>2NZ</t>
    <phoneticPr fontId="1"/>
  </si>
  <si>
    <t>いすず</t>
    <phoneticPr fontId="1"/>
  </si>
  <si>
    <t>4HL１</t>
    <phoneticPr fontId="1"/>
  </si>
  <si>
    <t>平成１４年８月</t>
    <rPh sb="0" eb="2">
      <t>ヘイセイ</t>
    </rPh>
    <rPh sb="4" eb="5">
      <t>ネン</t>
    </rPh>
    <rPh sb="6" eb="7">
      <t>ガツ</t>
    </rPh>
    <phoneticPr fontId="1"/>
  </si>
  <si>
    <t>KR-NKR81LAV</t>
    <phoneticPr fontId="1"/>
  </si>
  <si>
    <t>NKR81L7000815</t>
    <phoneticPr fontId="1"/>
  </si>
  <si>
    <t>2ｔ箱</t>
    <rPh sb="2" eb="3">
      <t>ハコ</t>
    </rPh>
    <phoneticPr fontId="10"/>
  </si>
  <si>
    <t>NKR66L7431311</t>
    <phoneticPr fontId="1"/>
  </si>
  <si>
    <t>4M51</t>
    <phoneticPr fontId="1"/>
  </si>
  <si>
    <t>平成13年9月</t>
    <rPh sb="0" eb="2">
      <t>ヘイセイ</t>
    </rPh>
    <rPh sb="4" eb="5">
      <t>ネン</t>
    </rPh>
    <rPh sb="6" eb="7">
      <t>ガツ</t>
    </rPh>
    <phoneticPr fontId="1"/>
  </si>
  <si>
    <t>KK-FE53EEV</t>
    <phoneticPr fontId="1"/>
  </si>
  <si>
    <t>FE53EEV562049</t>
    <phoneticPr fontId="1"/>
  </si>
  <si>
    <t>NKR81L7002711</t>
    <phoneticPr fontId="1"/>
  </si>
  <si>
    <t>平成15年3月</t>
    <rPh sb="0" eb="2">
      <t>ヘイセイ</t>
    </rPh>
    <rPh sb="4" eb="5">
      <t>ネン</t>
    </rPh>
    <rPh sb="6" eb="7">
      <t>ガツ</t>
    </rPh>
    <phoneticPr fontId="1"/>
  </si>
  <si>
    <t>U-FE437E</t>
    <phoneticPr fontId="1"/>
  </si>
  <si>
    <t>3㌧ユニック</t>
    <phoneticPr fontId="1"/>
  </si>
  <si>
    <t>習志野400た</t>
    <rPh sb="0" eb="3">
      <t>ナラシノ</t>
    </rPh>
    <phoneticPr fontId="1"/>
  </si>
  <si>
    <t>ZD30</t>
    <phoneticPr fontId="1"/>
  </si>
  <si>
    <t>KG-VWE25</t>
    <phoneticPr fontId="1"/>
  </si>
  <si>
    <t>VWE25-053537</t>
    <phoneticPr fontId="1"/>
  </si>
  <si>
    <t>バン</t>
    <phoneticPr fontId="1"/>
  </si>
  <si>
    <t>株式会社　ジュピター</t>
    <rPh sb="0" eb="4">
      <t>カブシキガイシャ</t>
    </rPh>
    <phoneticPr fontId="1"/>
  </si>
  <si>
    <t>千葉県白井市十余一10</t>
    <rPh sb="0" eb="3">
      <t>チバケン</t>
    </rPh>
    <rPh sb="3" eb="6">
      <t>シライシ</t>
    </rPh>
    <rPh sb="6" eb="7">
      <t>ジュウ</t>
    </rPh>
    <rPh sb="7" eb="8">
      <t>ヨ</t>
    </rPh>
    <rPh sb="8" eb="9">
      <t>イチ</t>
    </rPh>
    <phoneticPr fontId="1"/>
  </si>
  <si>
    <t>VWE25-053750</t>
    <phoneticPr fontId="1"/>
  </si>
  <si>
    <t>三河100い</t>
    <rPh sb="0" eb="2">
      <t>ミカワ</t>
    </rPh>
    <phoneticPr fontId="1"/>
  </si>
  <si>
    <t>MD92</t>
    <phoneticPr fontId="1"/>
  </si>
  <si>
    <t>KK-MK26A</t>
    <phoneticPr fontId="1"/>
  </si>
  <si>
    <t>MK26A00924</t>
    <phoneticPr fontId="1"/>
  </si>
  <si>
    <t>4㌧ユニック</t>
    <phoneticPr fontId="1"/>
  </si>
  <si>
    <t>6M60</t>
    <phoneticPr fontId="1"/>
  </si>
  <si>
    <t>平成17年3月</t>
    <rPh sb="0" eb="2">
      <t>ヘイセイ</t>
    </rPh>
    <rPh sb="4" eb="5">
      <t>ネン</t>
    </rPh>
    <rPh sb="6" eb="7">
      <t>ガツ</t>
    </rPh>
    <phoneticPr fontId="1"/>
  </si>
  <si>
    <t>PA-FK61FK</t>
    <phoneticPr fontId="1"/>
  </si>
  <si>
    <t>FK61FK-771579</t>
    <phoneticPr fontId="1"/>
  </si>
  <si>
    <t>4㌧平</t>
    <rPh sb="2" eb="3">
      <t>ヒラ</t>
    </rPh>
    <phoneticPr fontId="1"/>
  </si>
  <si>
    <t>4M50</t>
    <phoneticPr fontId="1"/>
  </si>
  <si>
    <t>平成17年12月</t>
    <rPh sb="0" eb="2">
      <t>ヘイセイ</t>
    </rPh>
    <rPh sb="4" eb="5">
      <t>ネン</t>
    </rPh>
    <rPh sb="7" eb="8">
      <t>ガツ</t>
    </rPh>
    <phoneticPr fontId="1"/>
  </si>
  <si>
    <t>PA-FK61R</t>
    <phoneticPr fontId="1"/>
  </si>
  <si>
    <t>FK61R-700053</t>
    <phoneticPr fontId="1"/>
  </si>
  <si>
    <t>107E</t>
    <phoneticPr fontId="1"/>
  </si>
  <si>
    <t>BDG-NK36C</t>
    <phoneticPr fontId="1"/>
  </si>
  <si>
    <t>MK36C-00389</t>
    <phoneticPr fontId="1"/>
  </si>
  <si>
    <t>平成10年2月</t>
    <rPh sb="0" eb="2">
      <t>ヘイセイ</t>
    </rPh>
    <rPh sb="4" eb="5">
      <t>ネン</t>
    </rPh>
    <rPh sb="6" eb="7">
      <t>ガツ</t>
    </rPh>
    <phoneticPr fontId="1"/>
  </si>
  <si>
    <t>KC-FE567EV</t>
    <phoneticPr fontId="1"/>
  </si>
  <si>
    <t>FE567EV531414</t>
    <phoneticPr fontId="1"/>
  </si>
  <si>
    <t>平成9年7月</t>
    <rPh sb="0" eb="2">
      <t>ヘイセイ</t>
    </rPh>
    <rPh sb="3" eb="4">
      <t>ネン</t>
    </rPh>
    <rPh sb="5" eb="6">
      <t>ガツ</t>
    </rPh>
    <phoneticPr fontId="1"/>
  </si>
  <si>
    <t>YFH3568DA</t>
    <phoneticPr fontId="1"/>
  </si>
  <si>
    <t>岐[53]71100岐</t>
    <rPh sb="0" eb="1">
      <t>ギ</t>
    </rPh>
    <rPh sb="10" eb="11">
      <t>ギ</t>
    </rPh>
    <phoneticPr fontId="1"/>
  </si>
  <si>
    <t>高床</t>
    <rPh sb="0" eb="2">
      <t>コウショウ</t>
    </rPh>
    <phoneticPr fontId="1"/>
  </si>
  <si>
    <t>トーヨー</t>
    <phoneticPr fontId="1"/>
  </si>
  <si>
    <t>昭和58年2月</t>
    <rPh sb="0" eb="2">
      <t>ショウワ</t>
    </rPh>
    <rPh sb="4" eb="5">
      <t>ネン</t>
    </rPh>
    <rPh sb="6" eb="7">
      <t>ガツ</t>
    </rPh>
    <phoneticPr fontId="1"/>
  </si>
  <si>
    <t>TR18D4</t>
    <phoneticPr fontId="1"/>
  </si>
  <si>
    <t>大[61]3226大</t>
    <rPh sb="0" eb="1">
      <t>ダイ</t>
    </rPh>
    <rPh sb="9" eb="10">
      <t>ダイ</t>
    </rPh>
    <phoneticPr fontId="1"/>
  </si>
  <si>
    <t>タンク台車</t>
    <rPh sb="3" eb="5">
      <t>ダイシャ</t>
    </rPh>
    <phoneticPr fontId="1"/>
  </si>
  <si>
    <t>平成17年月</t>
    <rPh sb="0" eb="2">
      <t>ヘイセイ</t>
    </rPh>
    <rPh sb="4" eb="5">
      <t>ネン</t>
    </rPh>
    <rPh sb="5" eb="6">
      <t>ガツ</t>
    </rPh>
    <phoneticPr fontId="1"/>
  </si>
  <si>
    <t>DFPFH341A-20021</t>
    <phoneticPr fontId="1"/>
  </si>
  <si>
    <t>DFPFH341A-20024</t>
    <phoneticPr fontId="1"/>
  </si>
  <si>
    <t>DFPFH341A-20054</t>
    <phoneticPr fontId="1"/>
  </si>
  <si>
    <t>DFPFH341A-20111</t>
    <phoneticPr fontId="1"/>
  </si>
  <si>
    <t>平成4年12月</t>
    <rPh sb="0" eb="2">
      <t>ヘイセイ</t>
    </rPh>
    <rPh sb="3" eb="4">
      <t>ネン</t>
    </rPh>
    <rPh sb="6" eb="7">
      <t>ガツ</t>
    </rPh>
    <phoneticPr fontId="1"/>
  </si>
  <si>
    <t>P239G改</t>
    <rPh sb="5" eb="6">
      <t>カイ</t>
    </rPh>
    <phoneticPr fontId="1"/>
  </si>
  <si>
    <t>P239G1895</t>
    <phoneticPr fontId="1"/>
  </si>
  <si>
    <t>昭和62年2月</t>
    <rPh sb="0" eb="2">
      <t>ショウワ</t>
    </rPh>
    <rPh sb="4" eb="5">
      <t>ネン</t>
    </rPh>
    <rPh sb="6" eb="7">
      <t>ガツ</t>
    </rPh>
    <phoneticPr fontId="1"/>
  </si>
  <si>
    <t>FPR239</t>
    <phoneticPr fontId="1"/>
  </si>
  <si>
    <t>FPR239-00368</t>
    <phoneticPr fontId="1"/>
  </si>
  <si>
    <t>昭和61年7月</t>
    <rPh sb="0" eb="2">
      <t>ショウワ</t>
    </rPh>
    <rPh sb="4" eb="5">
      <t>ネン</t>
    </rPh>
    <rPh sb="6" eb="7">
      <t>ガツ</t>
    </rPh>
    <phoneticPr fontId="1"/>
  </si>
  <si>
    <t>TF2523</t>
    <phoneticPr fontId="1"/>
  </si>
  <si>
    <t>TF25235277</t>
    <phoneticPr fontId="1"/>
  </si>
  <si>
    <t>代表取締役　鈴木　康仁</t>
    <rPh sb="0" eb="2">
      <t>ダイヒョウ</t>
    </rPh>
    <rPh sb="2" eb="5">
      <t>トリシマリヤク</t>
    </rPh>
    <rPh sb="6" eb="8">
      <t>スズキ</t>
    </rPh>
    <rPh sb="9" eb="11">
      <t>ヤスヒト</t>
    </rPh>
    <phoneticPr fontId="1"/>
  </si>
  <si>
    <t>代表取締役　鈴木　康仁</t>
    <phoneticPr fontId="1"/>
  </si>
  <si>
    <t>代表取締役　小寺　淳史</t>
    <phoneticPr fontId="1"/>
  </si>
  <si>
    <t>―</t>
    <phoneticPr fontId="1"/>
  </si>
  <si>
    <t>NOx・PM</t>
    <phoneticPr fontId="10"/>
  </si>
  <si>
    <t>緩和</t>
    <rPh sb="0" eb="2">
      <t>カンワ</t>
    </rPh>
    <phoneticPr fontId="10"/>
  </si>
  <si>
    <t>種別</t>
    <rPh sb="0" eb="2">
      <t>シュベツ</t>
    </rPh>
    <phoneticPr fontId="1"/>
  </si>
  <si>
    <t>普通</t>
    <rPh sb="0" eb="2">
      <t>フツウ</t>
    </rPh>
    <phoneticPr fontId="1"/>
  </si>
  <si>
    <t>適合</t>
    <rPh sb="0" eb="2">
      <t>テキゴウ</t>
    </rPh>
    <phoneticPr fontId="1"/>
  </si>
  <si>
    <t>小型</t>
    <rPh sb="0" eb="2">
      <t>コガタ</t>
    </rPh>
    <phoneticPr fontId="1"/>
  </si>
  <si>
    <t>特殊</t>
    <rPh sb="0" eb="2">
      <t>トクシュ</t>
    </rPh>
    <phoneticPr fontId="1"/>
  </si>
  <si>
    <t>不適合</t>
    <rPh sb="0" eb="1">
      <t>フ</t>
    </rPh>
    <rPh sb="1" eb="3">
      <t>テキゴウ</t>
    </rPh>
    <phoneticPr fontId="1"/>
  </si>
  <si>
    <t>005,098</t>
    <phoneticPr fontId="1"/>
  </si>
  <si>
    <t>004,005,056</t>
    <phoneticPr fontId="1"/>
  </si>
  <si>
    <t>004</t>
    <phoneticPr fontId="1"/>
  </si>
  <si>
    <t>002,004,005</t>
    <phoneticPr fontId="1"/>
  </si>
  <si>
    <t>002,004,005，056</t>
    <phoneticPr fontId="1"/>
  </si>
  <si>
    <t>002,004,005,056</t>
    <phoneticPr fontId="1"/>
  </si>
  <si>
    <t>042</t>
    <phoneticPr fontId="1"/>
  </si>
  <si>
    <t>001長さ</t>
    <rPh sb="3" eb="4">
      <t>ナガ</t>
    </rPh>
    <phoneticPr fontId="1"/>
  </si>
  <si>
    <t>002幅</t>
    <rPh sb="3" eb="4">
      <t>ハバ</t>
    </rPh>
    <phoneticPr fontId="1"/>
  </si>
  <si>
    <t>004車両重量</t>
    <rPh sb="3" eb="5">
      <t>シャリョウ</t>
    </rPh>
    <rPh sb="5" eb="7">
      <t>ジュウリョウ</t>
    </rPh>
    <phoneticPr fontId="1"/>
  </si>
  <si>
    <t>008最小回転半径</t>
    <rPh sb="3" eb="5">
      <t>サイショウ</t>
    </rPh>
    <rPh sb="5" eb="7">
      <t>カイテン</t>
    </rPh>
    <rPh sb="7" eb="9">
      <t>ハンケイ</t>
    </rPh>
    <phoneticPr fontId="1"/>
  </si>
  <si>
    <t>005軸重</t>
    <rPh sb="3" eb="4">
      <t>ジク</t>
    </rPh>
    <rPh sb="4" eb="5">
      <t>ジュウ</t>
    </rPh>
    <phoneticPr fontId="1"/>
  </si>
  <si>
    <t>056隣接軸重</t>
    <rPh sb="3" eb="5">
      <t>リンセツ</t>
    </rPh>
    <rPh sb="5" eb="6">
      <t>ジク</t>
    </rPh>
    <rPh sb="6" eb="7">
      <t>ジュウ</t>
    </rPh>
    <phoneticPr fontId="1"/>
  </si>
  <si>
    <t>098一括緩和</t>
    <rPh sb="3" eb="5">
      <t>イッカツ</t>
    </rPh>
    <rPh sb="5" eb="7">
      <t>カンワ</t>
    </rPh>
    <phoneticPr fontId="1"/>
  </si>
  <si>
    <t>042その他の灯火等の制限</t>
    <rPh sb="5" eb="6">
      <t>タ</t>
    </rPh>
    <rPh sb="7" eb="9">
      <t>トウカ</t>
    </rPh>
    <rPh sb="9" eb="10">
      <t>ナド</t>
    </rPh>
    <rPh sb="11" eb="13">
      <t>セイゲン</t>
    </rPh>
    <phoneticPr fontId="1"/>
  </si>
  <si>
    <t>ねじ部の摩耗及び損傷</t>
    <rPh sb="2" eb="3">
      <t>ブ</t>
    </rPh>
    <rPh sb="4" eb="6">
      <t>マモウ</t>
    </rPh>
    <rPh sb="6" eb="7">
      <t>オヨ</t>
    </rPh>
    <rPh sb="8" eb="10">
      <t>ソンショウ</t>
    </rPh>
    <phoneticPr fontId="1"/>
  </si>
  <si>
    <t>駐車ブレーキ・バブルの排気口</t>
    <rPh sb="0" eb="2">
      <t>チュウシャ</t>
    </rPh>
    <rPh sb="11" eb="13">
      <t>ハイキ</t>
    </rPh>
    <rPh sb="13" eb="14">
      <t>グチ</t>
    </rPh>
    <phoneticPr fontId="1"/>
  </si>
  <si>
    <t>からの排気音の状態</t>
  </si>
  <si>
    <t>ディスク・キャリバ</t>
    <phoneticPr fontId="1"/>
  </si>
  <si>
    <t>機能、摩耗及び損傷</t>
    <rPh sb="0" eb="2">
      <t>キノウ</t>
    </rPh>
    <rPh sb="3" eb="5">
      <t>マモウ</t>
    </rPh>
    <rPh sb="5" eb="6">
      <t>オヨ</t>
    </rPh>
    <rPh sb="7" eb="9">
      <t>ソンショウ</t>
    </rPh>
    <phoneticPr fontId="1"/>
  </si>
  <si>
    <t>リレー・エマージェンシ・バルブ</t>
    <phoneticPr fontId="1"/>
  </si>
  <si>
    <t>機能</t>
  </si>
  <si>
    <t>摩耗及び損傷</t>
    <rPh sb="0" eb="2">
      <t>マモウ</t>
    </rPh>
    <rPh sb="2" eb="3">
      <t>オヨ</t>
    </rPh>
    <rPh sb="4" eb="6">
      <t>ソンショウ</t>
    </rPh>
    <phoneticPr fontId="1"/>
  </si>
  <si>
    <t>ブレーキ・カム・シャフト</t>
    <phoneticPr fontId="1"/>
  </si>
  <si>
    <t>パッドの摩耗</t>
    <rPh sb="4" eb="6">
      <t>マモウ</t>
    </rPh>
    <phoneticPr fontId="1"/>
  </si>
  <si>
    <t>ディスクの摩耗及び損傷</t>
    <rPh sb="5" eb="7">
      <t>マモウ</t>
    </rPh>
    <rPh sb="7" eb="8">
      <t>オヨ</t>
    </rPh>
    <rPh sb="9" eb="11">
      <t>ソンショウ</t>
    </rPh>
    <phoneticPr fontId="1"/>
  </si>
  <si>
    <t>分離・ブレーキ</t>
    <rPh sb="0" eb="2">
      <t>ブンリ</t>
    </rPh>
    <phoneticPr fontId="1"/>
  </si>
  <si>
    <t>エマージェンシ・ブレーキの</t>
    <phoneticPr fontId="1"/>
  </si>
  <si>
    <t>作動確認</t>
    <rPh sb="0" eb="2">
      <t>サドウ</t>
    </rPh>
    <rPh sb="2" eb="4">
      <t>カクニン</t>
    </rPh>
    <phoneticPr fontId="1"/>
  </si>
  <si>
    <t>ロード・センシング・バルブ</t>
    <phoneticPr fontId="1"/>
  </si>
  <si>
    <t>取付状態</t>
    <rPh sb="0" eb="2">
      <t>トリツ</t>
    </rPh>
    <rPh sb="2" eb="4">
      <t>ジョウタイ</t>
    </rPh>
    <phoneticPr fontId="1"/>
  </si>
  <si>
    <t>オートマチック・スラック</t>
    <phoneticPr fontId="1"/>
  </si>
  <si>
    <t>アジャスタ</t>
    <phoneticPr fontId="1"/>
  </si>
  <si>
    <t>ABS装置</t>
    <rPh sb="3" eb="5">
      <t>ソウチ</t>
    </rPh>
    <phoneticPr fontId="1"/>
  </si>
  <si>
    <t>警告灯の作動確認</t>
    <rPh sb="0" eb="2">
      <t>ケイコク</t>
    </rPh>
    <rPh sb="2" eb="3">
      <t>トウ</t>
    </rPh>
    <rPh sb="4" eb="6">
      <t>サドウ</t>
    </rPh>
    <rPh sb="6" eb="8">
      <t>カクニン</t>
    </rPh>
    <phoneticPr fontId="1"/>
  </si>
  <si>
    <t>部品の機能確認</t>
    <rPh sb="0" eb="2">
      <t>ブヒン</t>
    </rPh>
    <rPh sb="3" eb="5">
      <t>キノウ</t>
    </rPh>
    <rPh sb="5" eb="7">
      <t>カクニン</t>
    </rPh>
    <phoneticPr fontId="1"/>
  </si>
  <si>
    <t>車輪速センサの作動j確認</t>
    <rPh sb="0" eb="2">
      <t>シャリン</t>
    </rPh>
    <rPh sb="2" eb="3">
      <t>ソク</t>
    </rPh>
    <rPh sb="7" eb="9">
      <t>サドウ</t>
    </rPh>
    <rPh sb="10" eb="12">
      <t>カクニン</t>
    </rPh>
    <phoneticPr fontId="1"/>
  </si>
  <si>
    <t>コントロール・バブル（モジュレータ）</t>
    <phoneticPr fontId="1"/>
  </si>
  <si>
    <t>の作動確認</t>
    <rPh sb="1" eb="3">
      <t>サドウ</t>
    </rPh>
    <rPh sb="3" eb="5">
      <t>カクニン</t>
    </rPh>
    <phoneticPr fontId="1"/>
  </si>
  <si>
    <t>アクスル</t>
    <phoneticPr fontId="1"/>
  </si>
  <si>
    <t>亀裂、損傷及び変形</t>
    <rPh sb="0" eb="2">
      <t>キレツ</t>
    </rPh>
    <rPh sb="3" eb="5">
      <t>ソンショウ</t>
    </rPh>
    <rPh sb="5" eb="6">
      <t>オヨ</t>
    </rPh>
    <rPh sb="7" eb="9">
      <t>ヘンケイ</t>
    </rPh>
    <phoneticPr fontId="1"/>
  </si>
  <si>
    <t>スピンドルの亀裂及び損傷</t>
    <rPh sb="6" eb="8">
      <t>キレツ</t>
    </rPh>
    <rPh sb="8" eb="9">
      <t>オヨ</t>
    </rPh>
    <rPh sb="10" eb="12">
      <t>ソンショウ</t>
    </rPh>
    <phoneticPr fontId="1"/>
  </si>
  <si>
    <t>ホイール</t>
  </si>
  <si>
    <t>タイヤの状態</t>
    <rPh sb="4" eb="6">
      <t>ジョウタイ</t>
    </rPh>
    <phoneticPr fontId="1"/>
  </si>
  <si>
    <t>タイヤの空気圧</t>
    <rPh sb="4" eb="7">
      <t>クウキアツ</t>
    </rPh>
    <phoneticPr fontId="1"/>
  </si>
  <si>
    <t>タイヤの亀裂及び損傷</t>
    <rPh sb="4" eb="6">
      <t>キレツ</t>
    </rPh>
    <rPh sb="6" eb="7">
      <t>オヨ</t>
    </rPh>
    <rPh sb="8" eb="10">
      <t>ソンショウ</t>
    </rPh>
    <phoneticPr fontId="1"/>
  </si>
  <si>
    <t>タイヤの溝の深さ</t>
    <rPh sb="4" eb="5">
      <t>ミゾ</t>
    </rPh>
    <rPh sb="6" eb="7">
      <t>フカ</t>
    </rPh>
    <phoneticPr fontId="1"/>
  </si>
  <si>
    <t>タイヤの異状な摩耗</t>
    <rPh sb="4" eb="6">
      <t>イジョウ</t>
    </rPh>
    <rPh sb="7" eb="9">
      <t>マモウ</t>
    </rPh>
    <phoneticPr fontId="1"/>
  </si>
  <si>
    <t>タイヤの金属片、石、</t>
    <rPh sb="4" eb="7">
      <t>キンゾクヘン</t>
    </rPh>
    <rPh sb="8" eb="9">
      <t>イシ</t>
    </rPh>
    <phoneticPr fontId="1"/>
  </si>
  <si>
    <t>その他の異物</t>
    <rPh sb="2" eb="3">
      <t>タ</t>
    </rPh>
    <rPh sb="4" eb="6">
      <t>イブツ</t>
    </rPh>
    <phoneticPr fontId="1"/>
  </si>
  <si>
    <t>ホイール・ナット及びホイール・ボルト</t>
    <rPh sb="8" eb="9">
      <t>オヨ</t>
    </rPh>
    <phoneticPr fontId="1"/>
  </si>
  <si>
    <t>の緩み</t>
    <rPh sb="1" eb="2">
      <t>ユル</t>
    </rPh>
    <phoneticPr fontId="1"/>
  </si>
  <si>
    <t>※ホイール・ナット及びホイール・ボルト</t>
    <rPh sb="9" eb="10">
      <t>オヨ</t>
    </rPh>
    <phoneticPr fontId="1"/>
  </si>
  <si>
    <t>の破損</t>
    <rPh sb="1" eb="3">
      <t>ハソン</t>
    </rPh>
    <phoneticPr fontId="1"/>
  </si>
  <si>
    <t>ハブの亀裂、損傷及び変形</t>
    <rPh sb="3" eb="5">
      <t>キレツ</t>
    </rPh>
    <rPh sb="6" eb="8">
      <t>ソンショウ</t>
    </rPh>
    <rPh sb="8" eb="9">
      <t>オヨ</t>
    </rPh>
    <rPh sb="10" eb="12">
      <t>ヘンケイ</t>
    </rPh>
    <phoneticPr fontId="1"/>
  </si>
  <si>
    <t>車軸のアライメント</t>
    <rPh sb="0" eb="1">
      <t>シャ</t>
    </rPh>
    <rPh sb="1" eb="2">
      <t>ジク</t>
    </rPh>
    <phoneticPr fontId="1"/>
  </si>
  <si>
    <t>取付部､連結部の緩み､がた及び</t>
    <rPh sb="0" eb="2">
      <t>トリツケ</t>
    </rPh>
    <rPh sb="2" eb="3">
      <t>ブ</t>
    </rPh>
    <rPh sb="4" eb="6">
      <t>レンケツ</t>
    </rPh>
    <rPh sb="6" eb="7">
      <t>ブ</t>
    </rPh>
    <rPh sb="8" eb="9">
      <t>ユル</t>
    </rPh>
    <rPh sb="13" eb="14">
      <t>オヨ</t>
    </rPh>
    <phoneticPr fontId="1"/>
  </si>
  <si>
    <t>損傷</t>
  </si>
  <si>
    <t>Uボルトの緩み及び損傷</t>
    <rPh sb="5" eb="6">
      <t>ユル</t>
    </rPh>
    <rPh sb="7" eb="8">
      <t>オヨ</t>
    </rPh>
    <rPh sb="9" eb="11">
      <t>ソンショウ</t>
    </rPh>
    <phoneticPr fontId="1"/>
  </si>
  <si>
    <t>トルク・ロッドの連結部</t>
    <rPh sb="8" eb="10">
      <t>レンケツ</t>
    </rPh>
    <rPh sb="10" eb="11">
      <t>ブ</t>
    </rPh>
    <phoneticPr fontId="1"/>
  </si>
  <si>
    <t>のがた</t>
    <phoneticPr fontId="1"/>
  </si>
  <si>
    <t>スプリング擢動面の摩耗</t>
    <rPh sb="5" eb="6">
      <t>タク</t>
    </rPh>
    <rPh sb="6" eb="7">
      <t>ドウ</t>
    </rPh>
    <rPh sb="7" eb="8">
      <t>メン</t>
    </rPh>
    <rPh sb="9" eb="11">
      <t>マモウ</t>
    </rPh>
    <phoneticPr fontId="1"/>
  </si>
  <si>
    <t>ウォーキング・ビーム・</t>
    <phoneticPr fontId="1"/>
  </si>
  <si>
    <t>サスペンション</t>
    <phoneticPr fontId="1"/>
  </si>
  <si>
    <t>連結部のがた及び損傷</t>
    <rPh sb="0" eb="2">
      <t>レンケツ</t>
    </rPh>
    <rPh sb="2" eb="3">
      <t>ブ</t>
    </rPh>
    <rPh sb="6" eb="7">
      <t>オヨ</t>
    </rPh>
    <rPh sb="8" eb="10">
      <t>ソンショウ</t>
    </rPh>
    <phoneticPr fontId="1"/>
  </si>
  <si>
    <t>ブラケット取付け部の緩み及び</t>
    <rPh sb="5" eb="7">
      <t>トリツ</t>
    </rPh>
    <rPh sb="8" eb="9">
      <t>ブ</t>
    </rPh>
    <rPh sb="10" eb="11">
      <t>ユル</t>
    </rPh>
    <rPh sb="12" eb="13">
      <t>オヨ</t>
    </rPh>
    <phoneticPr fontId="1"/>
  </si>
  <si>
    <t>ベローズの損傷</t>
    <rPh sb="5" eb="7">
      <t>ソンショウ</t>
    </rPh>
    <phoneticPr fontId="1"/>
  </si>
  <si>
    <t>取付部、連結部の緩み並びに</t>
    <rPh sb="0" eb="2">
      <t>トリツケ</t>
    </rPh>
    <rPh sb="2" eb="3">
      <t>ブ</t>
    </rPh>
    <rPh sb="4" eb="6">
      <t>レンケツ</t>
    </rPh>
    <rPh sb="6" eb="7">
      <t>ブ</t>
    </rPh>
    <rPh sb="8" eb="9">
      <t>ユル</t>
    </rPh>
    <rPh sb="10" eb="11">
      <t>ナラ</t>
    </rPh>
    <phoneticPr fontId="1"/>
  </si>
  <si>
    <t>ｽﾌﾟﾘﾝｸﾞ・ピポットの緩み</t>
    <rPh sb="13" eb="14">
      <t>ユル</t>
    </rPh>
    <phoneticPr fontId="1"/>
  </si>
  <si>
    <t>並びに損傷</t>
  </si>
  <si>
    <t>Uボルトの緩み並びに</t>
    <rPh sb="5" eb="6">
      <t>ユル</t>
    </rPh>
    <rPh sb="7" eb="8">
      <t>ナラ</t>
    </rPh>
    <phoneticPr fontId="1"/>
  </si>
  <si>
    <t>レベリング・バルブの機能</t>
    <rPh sb="10" eb="12">
      <t>キノウ</t>
    </rPh>
    <phoneticPr fontId="1"/>
  </si>
  <si>
    <t>レベリング・バルブのロッド</t>
    <phoneticPr fontId="1"/>
  </si>
  <si>
    <t>取付部の損傷</t>
    <rPh sb="0" eb="2">
      <t>トリツケ</t>
    </rPh>
    <rPh sb="2" eb="3">
      <t>ブ</t>
    </rPh>
    <rPh sb="4" eb="6">
      <t>ソンショウ</t>
    </rPh>
    <phoneticPr fontId="1"/>
  </si>
  <si>
    <t>プロテクション・バルブの機能</t>
    <rPh sb="12" eb="14">
      <t>キノウ</t>
    </rPh>
    <phoneticPr fontId="1"/>
  </si>
  <si>
    <t>ハイト・コントロール・バルブの</t>
    <phoneticPr fontId="1"/>
  </si>
  <si>
    <t>･車軸自動昇降装置</t>
    <rPh sb="1" eb="2">
      <t>シャ</t>
    </rPh>
    <rPh sb="3" eb="5">
      <t>ジドウ</t>
    </rPh>
    <rPh sb="5" eb="7">
      <t>ショウコウ</t>
    </rPh>
    <rPh sb="7" eb="9">
      <t>ソウチ</t>
    </rPh>
    <phoneticPr fontId="1"/>
  </si>
  <si>
    <t>アーム・ゴムクッションの摩耗</t>
    <rPh sb="12" eb="14">
      <t>マモウ</t>
    </rPh>
    <phoneticPr fontId="1"/>
  </si>
  <si>
    <t>取付部及び連結部の緩み</t>
    <rPh sb="0" eb="2">
      <t>トリツケ</t>
    </rPh>
    <rPh sb="2" eb="3">
      <t>ブ</t>
    </rPh>
    <rPh sb="3" eb="4">
      <t>オヨ</t>
    </rPh>
    <rPh sb="5" eb="7">
      <t>レンケツ</t>
    </rPh>
    <rPh sb="7" eb="8">
      <t>ブ</t>
    </rPh>
    <rPh sb="9" eb="10">
      <t>ユル</t>
    </rPh>
    <phoneticPr fontId="1"/>
  </si>
  <si>
    <t>並びに損傷</t>
    <rPh sb="3" eb="5">
      <t>ソンショウ</t>
    </rPh>
    <phoneticPr fontId="1"/>
  </si>
  <si>
    <t>･電気装置</t>
    <rPh sb="1" eb="3">
      <t>デンキ</t>
    </rPh>
    <rPh sb="3" eb="5">
      <t>ソウチ</t>
    </rPh>
    <phoneticPr fontId="1"/>
  </si>
  <si>
    <t>ターミナル部の接続状況</t>
    <rPh sb="5" eb="6">
      <t>ブ</t>
    </rPh>
    <rPh sb="7" eb="9">
      <t>セツゾク</t>
    </rPh>
    <rPh sb="9" eb="11">
      <t>ジョウキョウ</t>
    </rPh>
    <phoneticPr fontId="1"/>
  </si>
  <si>
    <t>接続部の緩み及び損傷</t>
    <rPh sb="0" eb="2">
      <t>セツゾク</t>
    </rPh>
    <rPh sb="2" eb="3">
      <t>ブ</t>
    </rPh>
    <rPh sb="4" eb="5">
      <t>ユル</t>
    </rPh>
    <rPh sb="6" eb="7">
      <t>オヨ</t>
    </rPh>
    <rPh sb="8" eb="10">
      <t>ソンショウ</t>
    </rPh>
    <phoneticPr fontId="1"/>
  </si>
  <si>
    <t>･エア・コンプレッサ</t>
    <phoneticPr fontId="1"/>
  </si>
  <si>
    <t>エア・タンクの凝水</t>
    <rPh sb="7" eb="8">
      <t>ギョウ</t>
    </rPh>
    <rPh sb="8" eb="9">
      <t>スイ</t>
    </rPh>
    <phoneticPr fontId="1"/>
  </si>
  <si>
    <t>･車枠及び車体</t>
    <rPh sb="1" eb="2">
      <t>シャ</t>
    </rPh>
    <rPh sb="2" eb="3">
      <t>ワク</t>
    </rPh>
    <rPh sb="3" eb="4">
      <t>オヨ</t>
    </rPh>
    <rPh sb="5" eb="7">
      <t>シャタイ</t>
    </rPh>
    <phoneticPr fontId="1"/>
  </si>
  <si>
    <t>　　　　　　　　　　　　ｋｍ</t>
    <phoneticPr fontId="1"/>
  </si>
  <si>
    <t>　　　　　年　　　　月　　　　日</t>
    <rPh sb="5" eb="6">
      <t>ネン</t>
    </rPh>
    <rPh sb="10" eb="16">
      <t>ガッピ</t>
    </rPh>
    <phoneticPr fontId="1"/>
  </si>
  <si>
    <t>ＣＯ　</t>
    <phoneticPr fontId="1"/>
  </si>
  <si>
    <t>　　　　(アイドリング時)</t>
    <rPh sb="11" eb="12">
      <t>ジ</t>
    </rPh>
    <phoneticPr fontId="1"/>
  </si>
  <si>
    <t>該当なし</t>
  </si>
  <si>
    <t>Ｌ</t>
  </si>
  <si>
    <t>給 油</t>
  </si>
  <si>
    <t>Ｔ</t>
  </si>
  <si>
    <t>締 付</t>
  </si>
  <si>
    <t>Ｃ</t>
  </si>
  <si>
    <t>清 掃</t>
  </si>
  <si>
    <t>Ａ</t>
  </si>
  <si>
    <t>調 整</t>
  </si>
  <si>
    <t>Δ</t>
  </si>
  <si>
    <t>修 理</t>
  </si>
  <si>
    <t>〇</t>
  </si>
  <si>
    <t>分 解</t>
  </si>
  <si>
    <t>×</t>
  </si>
  <si>
    <t>交 換</t>
  </si>
  <si>
    <t>∨</t>
  </si>
  <si>
    <t>点 検</t>
  </si>
  <si>
    <t>自動車分解整備事業者の氏名又は名称、事業場の所在地及び認証番号</t>
    <rPh sb="0" eb="3">
      <t>ジドウシャ</t>
    </rPh>
    <rPh sb="3" eb="5">
      <t>ブンカイ</t>
    </rPh>
    <rPh sb="5" eb="7">
      <t>セイビ</t>
    </rPh>
    <rPh sb="7" eb="9">
      <t>ジギョウ</t>
    </rPh>
    <rPh sb="9" eb="10">
      <t>シャ</t>
    </rPh>
    <rPh sb="11" eb="13">
      <t>シメイ</t>
    </rPh>
    <rPh sb="13" eb="14">
      <t>マタ</t>
    </rPh>
    <rPh sb="15" eb="17">
      <t>メイショウ</t>
    </rPh>
    <rPh sb="18" eb="20">
      <t>ジギョウ</t>
    </rPh>
    <rPh sb="20" eb="21">
      <t>ジョウ</t>
    </rPh>
    <rPh sb="22" eb="25">
      <t>ショザイチ</t>
    </rPh>
    <rPh sb="25" eb="26">
      <t>オヨ</t>
    </rPh>
    <rPh sb="27" eb="29">
      <t>ニンショウ</t>
    </rPh>
    <rPh sb="29" eb="31">
      <t>バンゴウ</t>
    </rPh>
    <phoneticPr fontId="1"/>
  </si>
  <si>
    <t>　　区　分　及び　記　号</t>
  </si>
  <si>
    <t>(注)　(※)印の点検箇所は、自動車検査証の交付を受けた日又は前回の点検を行った日以降の走行距離が３か月当たり２，000ｋｍ以下の自動車については、行わななくてもよい。</t>
    <rPh sb="1" eb="2">
      <t>チュウ</t>
    </rPh>
    <rPh sb="7" eb="8">
      <t>シルシ</t>
    </rPh>
    <rPh sb="9" eb="11">
      <t>テンケン</t>
    </rPh>
    <rPh sb="11" eb="13">
      <t>カショ</t>
    </rPh>
    <rPh sb="15" eb="18">
      <t>ジドウシャ</t>
    </rPh>
    <rPh sb="18" eb="20">
      <t>ケンサ</t>
    </rPh>
    <rPh sb="20" eb="21">
      <t>ショウ</t>
    </rPh>
    <rPh sb="22" eb="24">
      <t>コウフ</t>
    </rPh>
    <rPh sb="25" eb="26">
      <t>ウ</t>
    </rPh>
    <rPh sb="28" eb="29">
      <t>ヒ</t>
    </rPh>
    <rPh sb="29" eb="30">
      <t>マタ</t>
    </rPh>
    <rPh sb="31" eb="33">
      <t>ゼンカイ</t>
    </rPh>
    <rPh sb="34" eb="36">
      <t>テンケン</t>
    </rPh>
    <rPh sb="37" eb="38">
      <t>オコナ</t>
    </rPh>
    <rPh sb="40" eb="41">
      <t>ヒ</t>
    </rPh>
    <rPh sb="41" eb="43">
      <t>イコウ</t>
    </rPh>
    <rPh sb="44" eb="46">
      <t>ソウコウ</t>
    </rPh>
    <rPh sb="46" eb="48">
      <t>キョリ</t>
    </rPh>
    <rPh sb="51" eb="52">
      <t>ゲツ</t>
    </rPh>
    <rPh sb="52" eb="53">
      <t>ア</t>
    </rPh>
    <rPh sb="62" eb="64">
      <t>イカ</t>
    </rPh>
    <rPh sb="65" eb="67">
      <t>ジドウ</t>
    </rPh>
    <rPh sb="67" eb="68">
      <t>シャ</t>
    </rPh>
    <rPh sb="74" eb="75">
      <t>オコナ</t>
    </rPh>
    <phoneticPr fontId="1"/>
  </si>
  <si>
    <t>エア・サスペンション</t>
    <phoneticPr fontId="1"/>
  </si>
  <si>
    <t>ブレーキ･シュー</t>
    <phoneticPr fontId="1"/>
  </si>
  <si>
    <t>ブレーキ･ドラム及び</t>
    <rPh sb="8" eb="9">
      <t>オヨ</t>
    </rPh>
    <phoneticPr fontId="1"/>
  </si>
  <si>
    <t>キング・ピンの亀裂、損傷</t>
    <rPh sb="7" eb="9">
      <t>キレツ</t>
    </rPh>
    <rPh sb="10" eb="12">
      <t>ソンショウ</t>
    </rPh>
    <phoneticPr fontId="1"/>
  </si>
  <si>
    <t>リーフ・サスペンション</t>
    <phoneticPr fontId="1"/>
  </si>
  <si>
    <t>ブレーキ･カム</t>
    <phoneticPr fontId="1"/>
  </si>
  <si>
    <t>・バルブ</t>
    <phoneticPr fontId="1"/>
  </si>
  <si>
    <t>リレー･エマージェンシ</t>
    <phoneticPr fontId="1"/>
  </si>
  <si>
    <t>ホイール・ベアリングのがた</t>
    <phoneticPr fontId="1"/>
  </si>
  <si>
    <t>リム、サイド･リング、ホイール</t>
    <phoneticPr fontId="1"/>
  </si>
  <si>
    <t>ロッドのストローク</t>
    <phoneticPr fontId="1"/>
  </si>
  <si>
    <t>ブレーキ・チャンバ</t>
    <phoneticPr fontId="1"/>
  </si>
  <si>
    <t>ホイール・ナット、ホイール・</t>
    <phoneticPr fontId="1"/>
  </si>
  <si>
    <t>エア・コンプレッサ</t>
    <phoneticPr fontId="1"/>
  </si>
  <si>
    <t>ブレーキ・ペダル</t>
    <phoneticPr fontId="1"/>
  </si>
  <si>
    <t>…１２か月</t>
    <rPh sb="4" eb="5">
      <t>ゲツ</t>
    </rPh>
    <phoneticPr fontId="1"/>
  </si>
  <si>
    <t>＋</t>
    <phoneticPr fontId="1"/>
  </si>
  <si>
    <t>初年度登録</t>
    <rPh sb="0" eb="3">
      <t>ショネンド</t>
    </rPh>
    <rPh sb="3" eb="5">
      <t>トウロク</t>
    </rPh>
    <phoneticPr fontId="1"/>
  </si>
  <si>
    <t>…　３か月</t>
    <rPh sb="4" eb="5">
      <t>ゲツ</t>
    </rPh>
    <phoneticPr fontId="1"/>
  </si>
  <si>
    <t>備考</t>
    <rPh sb="0" eb="2">
      <t>ビコウ</t>
    </rPh>
    <phoneticPr fontId="1"/>
  </si>
  <si>
    <t>車　　名</t>
    <rPh sb="0" eb="4">
      <t>シャメイ</t>
    </rPh>
    <phoneticPr fontId="1"/>
  </si>
  <si>
    <t>事業用自動車等（被牽引車）</t>
    <rPh sb="0" eb="3">
      <t>ジギョウヨウ</t>
    </rPh>
    <rPh sb="3" eb="6">
      <t>ジドウシャ</t>
    </rPh>
    <rPh sb="6" eb="7">
      <t>トウ</t>
    </rPh>
    <rPh sb="8" eb="9">
      <t>ヒ</t>
    </rPh>
    <rPh sb="9" eb="11">
      <t>ケンイン</t>
    </rPh>
    <rPh sb="11" eb="12">
      <t>シャ</t>
    </rPh>
    <phoneticPr fontId="1"/>
  </si>
  <si>
    <t>車台番号</t>
    <rPh sb="0" eb="1">
      <t>クルマ</t>
    </rPh>
    <rPh sb="1" eb="2">
      <t>ダイ</t>
    </rPh>
    <rPh sb="2" eb="4">
      <t>バンゴウ</t>
    </rPh>
    <phoneticPr fontId="1"/>
  </si>
  <si>
    <t>自動車登録番号</t>
    <rPh sb="0" eb="3">
      <t>ジドウシャ</t>
    </rPh>
    <rPh sb="3" eb="5">
      <t>トウロク</t>
    </rPh>
    <rPh sb="5" eb="7">
      <t>バンゴウ</t>
    </rPh>
    <phoneticPr fontId="1"/>
  </si>
  <si>
    <t>　　　　　　年　　　　月　　　　日</t>
    <rPh sb="6" eb="7">
      <t>ネン</t>
    </rPh>
    <rPh sb="11" eb="17">
      <t>ガッピ</t>
    </rPh>
    <phoneticPr fontId="1"/>
  </si>
  <si>
    <t>横浜100か</t>
    <rPh sb="0" eb="2">
      <t>ヨコハマ</t>
    </rPh>
    <phoneticPr fontId="1"/>
  </si>
  <si>
    <t>ニッサンディーゼル</t>
    <phoneticPr fontId="1"/>
  </si>
  <si>
    <t>RH8</t>
    <phoneticPr fontId="1"/>
  </si>
  <si>
    <t>平成15年5月</t>
    <rPh sb="0" eb="2">
      <t>ヘイセイ</t>
    </rPh>
    <rPh sb="4" eb="5">
      <t>ネン</t>
    </rPh>
    <rPh sb="6" eb="7">
      <t>ガツ</t>
    </rPh>
    <phoneticPr fontId="1"/>
  </si>
  <si>
    <t>KL-CK552BHT</t>
    <phoneticPr fontId="1"/>
  </si>
  <si>
    <t>CK552B00809</t>
    <phoneticPr fontId="1"/>
  </si>
  <si>
    <t>愛知県碧南市吹上町4丁目36番地</t>
    <rPh sb="0" eb="3">
      <t>アイチケン</t>
    </rPh>
    <rPh sb="3" eb="6">
      <t>ヘキナンシ</t>
    </rPh>
    <rPh sb="6" eb="9">
      <t>フキアゲチョウ</t>
    </rPh>
    <rPh sb="10" eb="12">
      <t>チョウメ</t>
    </rPh>
    <rPh sb="14" eb="16">
      <t>バンチ</t>
    </rPh>
    <phoneticPr fontId="1"/>
  </si>
  <si>
    <t>横浜101あ</t>
    <rPh sb="0" eb="2">
      <t>ヨコハマ</t>
    </rPh>
    <phoneticPr fontId="1"/>
  </si>
  <si>
    <t>横浜100き</t>
    <rPh sb="0" eb="2">
      <t>ヨコハマ</t>
    </rPh>
    <phoneticPr fontId="10"/>
  </si>
  <si>
    <t>横浜100き</t>
    <rPh sb="0" eb="2">
      <t>ヨコハマ</t>
    </rPh>
    <phoneticPr fontId="1"/>
  </si>
  <si>
    <t>宮城100い</t>
    <rPh sb="0" eb="2">
      <t>ミヤギ</t>
    </rPh>
    <phoneticPr fontId="1"/>
  </si>
  <si>
    <t>KK-MK26A</t>
    <phoneticPr fontId="1"/>
  </si>
  <si>
    <t>MK26A00924</t>
    <phoneticPr fontId="1"/>
  </si>
  <si>
    <t>愛知県碧南市吹上町4丁目36番地</t>
    <rPh sb="0" eb="3">
      <t>アイチケン</t>
    </rPh>
    <rPh sb="3" eb="6">
      <t>ヘキナンシ</t>
    </rPh>
    <rPh sb="6" eb="9">
      <t>フキアゲマチ</t>
    </rPh>
    <rPh sb="10" eb="12">
      <t>チョウメ</t>
    </rPh>
    <rPh sb="14" eb="16">
      <t>バンチ</t>
    </rPh>
    <phoneticPr fontId="1"/>
  </si>
  <si>
    <t>宮城100け</t>
    <rPh sb="0" eb="2">
      <t>ミヤギ</t>
    </rPh>
    <phoneticPr fontId="1"/>
  </si>
  <si>
    <t>6M70</t>
    <phoneticPr fontId="1"/>
  </si>
  <si>
    <t>平成22年7月</t>
    <rPh sb="0" eb="2">
      <t>ヘイセイ</t>
    </rPh>
    <rPh sb="4" eb="5">
      <t>ネン</t>
    </rPh>
    <rPh sb="6" eb="7">
      <t>ガツ</t>
    </rPh>
    <phoneticPr fontId="1"/>
  </si>
  <si>
    <t>BDG-FP54JDR</t>
    <phoneticPr fontId="1"/>
  </si>
  <si>
    <t>FP54JD-570166</t>
    <phoneticPr fontId="1"/>
  </si>
  <si>
    <t>シングル</t>
    <phoneticPr fontId="1"/>
  </si>
  <si>
    <t>旧車番</t>
  </si>
  <si>
    <t>購入日</t>
  </si>
  <si>
    <t>売却日</t>
  </si>
  <si>
    <t>所有者</t>
  </si>
  <si>
    <t>使用者</t>
  </si>
  <si>
    <t>リース満了日</t>
  </si>
  <si>
    <t>月額リース料</t>
  </si>
  <si>
    <t>登録番号N</t>
    <rPh sb="0" eb="2">
      <t>トウロク</t>
    </rPh>
    <rPh sb="2" eb="4">
      <t>バンゴウ</t>
    </rPh>
    <phoneticPr fontId="10"/>
  </si>
  <si>
    <t>登録番号O</t>
    <rPh sb="0" eb="2">
      <t>トウロク</t>
    </rPh>
    <rPh sb="2" eb="4">
      <t>バンゴウ</t>
    </rPh>
    <phoneticPr fontId="10"/>
  </si>
  <si>
    <t>横浜100き2852</t>
    <phoneticPr fontId="1"/>
  </si>
  <si>
    <t>滋賀100か5608</t>
    <phoneticPr fontId="1"/>
  </si>
  <si>
    <t>宮城100き5885</t>
    <phoneticPr fontId="1"/>
  </si>
  <si>
    <t>滋賀100か5910</t>
    <phoneticPr fontId="1"/>
  </si>
  <si>
    <t>三河100き1807</t>
    <phoneticPr fontId="1"/>
  </si>
  <si>
    <t>宮城100き4410</t>
    <phoneticPr fontId="1"/>
  </si>
  <si>
    <t>三河100き1806</t>
    <phoneticPr fontId="1"/>
  </si>
  <si>
    <t>三河100か7132</t>
    <phoneticPr fontId="1"/>
  </si>
  <si>
    <t>宮城100き5370</t>
    <phoneticPr fontId="1"/>
  </si>
  <si>
    <t>滋賀100あ7550</t>
    <phoneticPr fontId="1"/>
  </si>
  <si>
    <t>三河100か8217</t>
    <phoneticPr fontId="1"/>
  </si>
  <si>
    <t>三河100か8934</t>
    <phoneticPr fontId="1"/>
  </si>
  <si>
    <t>三河100か8935</t>
    <phoneticPr fontId="1"/>
  </si>
  <si>
    <t>三河100か9181</t>
    <phoneticPr fontId="1"/>
  </si>
  <si>
    <t>三河100か9208</t>
    <phoneticPr fontId="1"/>
  </si>
  <si>
    <t>岐阜400あ2493</t>
    <phoneticPr fontId="1"/>
  </si>
  <si>
    <t>岐阜400あ2497</t>
    <phoneticPr fontId="1"/>
  </si>
  <si>
    <t>岐阜11い2168</t>
    <phoneticPr fontId="1"/>
  </si>
  <si>
    <t>岐阜11い3762</t>
    <phoneticPr fontId="1"/>
  </si>
  <si>
    <t>三河100き1207</t>
    <phoneticPr fontId="1"/>
  </si>
  <si>
    <t>滋賀100か7633</t>
    <phoneticPr fontId="1"/>
  </si>
  <si>
    <t>三河11え2479</t>
    <phoneticPr fontId="1"/>
  </si>
  <si>
    <t>宮城130あ299</t>
    <phoneticPr fontId="1"/>
  </si>
  <si>
    <t>三河100え988</t>
    <phoneticPr fontId="1"/>
  </si>
  <si>
    <t>滋賀100え459</t>
    <phoneticPr fontId="1"/>
  </si>
  <si>
    <t>滋賀100え463</t>
    <phoneticPr fontId="1"/>
  </si>
  <si>
    <t>滋賀100え465</t>
    <phoneticPr fontId="1"/>
  </si>
  <si>
    <t>滋賀100え466</t>
    <phoneticPr fontId="1"/>
  </si>
  <si>
    <t>滋賀100え478</t>
    <phoneticPr fontId="1"/>
  </si>
  <si>
    <t>滋賀100え507</t>
    <phoneticPr fontId="1"/>
  </si>
  <si>
    <t>滋賀100え508</t>
    <phoneticPr fontId="1"/>
  </si>
  <si>
    <t>滋賀100え509</t>
    <phoneticPr fontId="1"/>
  </si>
  <si>
    <t>滋賀100え453</t>
    <phoneticPr fontId="1"/>
  </si>
  <si>
    <t>横浜100き2855</t>
    <phoneticPr fontId="1"/>
  </si>
  <si>
    <t>滋賀100か7336</t>
    <phoneticPr fontId="1"/>
  </si>
  <si>
    <t>宮城100き6512</t>
    <phoneticPr fontId="1"/>
  </si>
  <si>
    <t>岐阜900さ259</t>
    <phoneticPr fontId="1"/>
  </si>
  <si>
    <t>横浜101あ2063</t>
    <phoneticPr fontId="1"/>
  </si>
  <si>
    <t>習志野100い2663</t>
    <phoneticPr fontId="1"/>
  </si>
  <si>
    <t>習志野100い3817</t>
    <phoneticPr fontId="1"/>
  </si>
  <si>
    <t>横浜101あ1713</t>
    <phoneticPr fontId="1"/>
  </si>
  <si>
    <t>宮城100い3336</t>
    <phoneticPr fontId="1"/>
  </si>
  <si>
    <t>三河100い162</t>
    <phoneticPr fontId="1"/>
  </si>
  <si>
    <t>滋賀100い291</t>
    <phoneticPr fontId="1"/>
  </si>
  <si>
    <t>習志野100い2897</t>
    <phoneticPr fontId="1"/>
  </si>
  <si>
    <t>三河100え1053</t>
    <phoneticPr fontId="1"/>
  </si>
  <si>
    <t>三河100え830</t>
    <phoneticPr fontId="1"/>
  </si>
  <si>
    <t>三河100え705</t>
    <phoneticPr fontId="1"/>
  </si>
  <si>
    <t>三河100え720</t>
    <phoneticPr fontId="1"/>
  </si>
  <si>
    <t>三河100え774</t>
    <phoneticPr fontId="1"/>
  </si>
  <si>
    <t>三河100え817</t>
    <phoneticPr fontId="1"/>
  </si>
  <si>
    <t>横浜100か4488</t>
    <phoneticPr fontId="1"/>
  </si>
  <si>
    <t>宮城100け184</t>
    <phoneticPr fontId="1"/>
  </si>
  <si>
    <t>FN2PWG11230</t>
    <phoneticPr fontId="1"/>
  </si>
  <si>
    <t>三河100き247</t>
    <phoneticPr fontId="1"/>
  </si>
  <si>
    <t>横浜100き2852</t>
    <phoneticPr fontId="1"/>
  </si>
  <si>
    <t>三河100き575</t>
    <phoneticPr fontId="1"/>
  </si>
  <si>
    <t>三河100き576</t>
    <phoneticPr fontId="1"/>
  </si>
  <si>
    <t>三河100き579</t>
    <phoneticPr fontId="1"/>
  </si>
</sst>
</file>

<file path=xl/styles.xml><?xml version="1.0" encoding="utf-8"?>
<styleSheet xmlns="http://schemas.openxmlformats.org/spreadsheetml/2006/main">
  <numFmts count="2">
    <numFmt numFmtId="178" formatCode="#&quot;km&quot;"/>
    <numFmt numFmtId="179" formatCode="[$-411]ggge&quot;年&quot;m&quot;月&quot;d&quot;日&quot;;@"/>
  </numFmts>
  <fonts count="18">
    <font>
      <sz val="11"/>
      <name val="ＭＳ Ｐ明朝"/>
      <family val="1"/>
      <charset val="128"/>
    </font>
    <font>
      <sz val="6"/>
      <name val="ＭＳ Ｐ明朝"/>
      <family val="1"/>
      <charset val="128"/>
    </font>
    <font>
      <sz val="10"/>
      <name val="ＭＳ Ｐ明朝"/>
      <family val="1"/>
      <charset val="128"/>
    </font>
    <font>
      <sz val="18"/>
      <name val="ＭＳ Ｐ明朝"/>
      <family val="1"/>
      <charset val="128"/>
    </font>
    <font>
      <sz val="8"/>
      <name val="ＭＳ Ｐ明朝"/>
      <family val="1"/>
      <charset val="128"/>
    </font>
    <font>
      <sz val="10"/>
      <name val="ＭＳ ゴシック"/>
      <family val="3"/>
      <charset val="128"/>
    </font>
    <font>
      <sz val="10"/>
      <name val="ＭＳ Ｐゴシック"/>
      <family val="3"/>
      <charset val="128"/>
    </font>
    <font>
      <sz val="12"/>
      <name val="ＭＳ Ｐ明朝"/>
      <family val="1"/>
      <charset val="128"/>
    </font>
    <font>
      <sz val="16"/>
      <name val="ＭＳ Ｐ明朝"/>
      <family val="1"/>
      <charset val="128"/>
    </font>
    <font>
      <sz val="11"/>
      <name val="ＭＳ Ｐゴシック"/>
      <family val="3"/>
      <charset val="128"/>
    </font>
    <font>
      <sz val="6"/>
      <name val="ＭＳ Ｐゴシック"/>
      <family val="3"/>
      <charset val="128"/>
    </font>
    <font>
      <b/>
      <sz val="9"/>
      <color indexed="9"/>
      <name val="ＭＳ Ｐゴシック"/>
      <family val="3"/>
      <charset val="128"/>
    </font>
    <font>
      <sz val="9"/>
      <name val="ＭＳ Ｐゴシック"/>
      <family val="3"/>
      <charset val="128"/>
    </font>
    <font>
      <sz val="14"/>
      <name val="ＭＳ Ｐ明朝"/>
      <family val="1"/>
      <charset val="128"/>
    </font>
    <font>
      <sz val="11"/>
      <name val="ＭＳ Ｐ明朝"/>
      <family val="1"/>
      <charset val="128"/>
    </font>
    <font>
      <sz val="20"/>
      <name val="ＭＳ Ｐ明朝"/>
      <family val="1"/>
      <charset val="128"/>
    </font>
    <font>
      <sz val="11"/>
      <color rgb="FF006100"/>
      <name val="ＭＳ Ｐゴシック"/>
      <family val="3"/>
      <charset val="128"/>
      <scheme val="minor"/>
    </font>
    <font>
      <sz val="11"/>
      <color rgb="FFFF0000"/>
      <name val="ＭＳ Ｐ明朝"/>
      <family val="1"/>
      <charset val="128"/>
    </font>
  </fonts>
  <fills count="11">
    <fill>
      <patternFill patternType="none"/>
    </fill>
    <fill>
      <patternFill patternType="gray125"/>
    </fill>
    <fill>
      <patternFill patternType="gray125">
        <fgColor indexed="8"/>
      </patternFill>
    </fill>
    <fill>
      <patternFill patternType="solid">
        <fgColor indexed="18"/>
        <bgColor indexed="64"/>
      </patternFill>
    </fill>
    <fill>
      <patternFill patternType="solid">
        <fgColor indexed="42"/>
        <bgColor indexed="64"/>
      </patternFill>
    </fill>
    <fill>
      <patternFill patternType="solid">
        <fgColor indexed="43"/>
        <bgColor indexed="64"/>
      </patternFill>
    </fill>
    <fill>
      <patternFill patternType="solid">
        <fgColor indexed="65"/>
        <bgColor indexed="64"/>
      </patternFill>
    </fill>
    <fill>
      <patternFill patternType="lightGray"/>
    </fill>
    <fill>
      <patternFill patternType="solid">
        <fgColor indexed="65"/>
        <bgColor indexed="8"/>
      </patternFill>
    </fill>
    <fill>
      <patternFill patternType="solid">
        <fgColor rgb="FFC6EFCE"/>
      </patternFill>
    </fill>
    <fill>
      <patternFill patternType="solid">
        <fgColor rgb="FFCCFFCC"/>
        <bgColor indexed="64"/>
      </patternFill>
    </fill>
  </fills>
  <borders count="90">
    <border>
      <left/>
      <right/>
      <top/>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thin">
        <color indexed="64"/>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medium">
        <color indexed="64"/>
      </right>
      <top/>
      <bottom/>
      <diagonal/>
    </border>
    <border>
      <left style="double">
        <color indexed="64"/>
      </left>
      <right style="double">
        <color indexed="64"/>
      </right>
      <top style="double">
        <color indexed="64"/>
      </top>
      <bottom style="double">
        <color indexed="64"/>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diagonal/>
    </border>
    <border>
      <left style="thin">
        <color indexed="64"/>
      </left>
      <right/>
      <top style="thin">
        <color indexed="64"/>
      </top>
      <bottom/>
      <diagonal/>
    </border>
    <border>
      <left style="medium">
        <color indexed="64"/>
      </left>
      <right style="medium">
        <color indexed="64"/>
      </right>
      <top/>
      <bottom/>
      <diagonal/>
    </border>
    <border>
      <left style="medium">
        <color indexed="64"/>
      </left>
      <right style="thin">
        <color indexed="64"/>
      </right>
      <top/>
      <bottom/>
      <diagonal/>
    </border>
    <border>
      <left/>
      <right/>
      <top/>
      <bottom style="thin">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double">
        <color indexed="64"/>
      </right>
      <top/>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style="medium">
        <color indexed="64"/>
      </left>
      <right/>
      <top/>
      <bottom style="thin">
        <color indexed="64"/>
      </bottom>
      <diagonal/>
    </border>
    <border>
      <left style="thin">
        <color indexed="64"/>
      </left>
      <right style="double">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double">
        <color indexed="64"/>
      </right>
      <top style="thin">
        <color indexed="64"/>
      </top>
      <bottom/>
      <diagonal/>
    </border>
    <border>
      <left/>
      <right style="double">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double">
        <color indexed="64"/>
      </right>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right style="double">
        <color indexed="64"/>
      </right>
      <top/>
      <bottom/>
      <diagonal/>
    </border>
    <border>
      <left style="thin">
        <color indexed="64"/>
      </left>
      <right style="double">
        <color indexed="64"/>
      </right>
      <top style="thin">
        <color indexed="64"/>
      </top>
      <bottom/>
      <diagonal/>
    </border>
    <border>
      <left/>
      <right style="medium">
        <color indexed="64"/>
      </right>
      <top style="double">
        <color indexed="64"/>
      </top>
      <bottom/>
      <diagonal/>
    </border>
    <border>
      <left style="thin">
        <color indexed="64"/>
      </left>
      <right style="medium">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left style="thin">
        <color indexed="64"/>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10"/>
      </left>
      <right style="medium">
        <color indexed="10"/>
      </right>
      <top style="medium">
        <color indexed="10"/>
      </top>
      <bottom style="medium">
        <color indexed="10"/>
      </bottom>
      <diagonal/>
    </border>
    <border>
      <left style="medium">
        <color indexed="64"/>
      </left>
      <right style="medium">
        <color indexed="64"/>
      </right>
      <top/>
      <bottom style="medium">
        <color indexed="64"/>
      </bottom>
      <diagonal/>
    </border>
    <border>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right style="thin">
        <color indexed="64"/>
      </right>
      <top/>
      <bottom style="medium">
        <color indexed="64"/>
      </bottom>
      <diagonal/>
    </border>
    <border>
      <left style="thin">
        <color indexed="64"/>
      </left>
      <right style="medium">
        <color indexed="64"/>
      </right>
      <top style="medium">
        <color indexed="64"/>
      </top>
      <bottom/>
      <diagonal/>
    </border>
    <border>
      <left/>
      <right style="medium">
        <color indexed="64"/>
      </right>
      <top style="medium">
        <color indexed="64"/>
      </top>
      <bottom/>
      <diagonal/>
    </border>
    <border>
      <left style="double">
        <color indexed="64"/>
      </left>
      <right style="double">
        <color indexed="64"/>
      </right>
      <top style="medium">
        <color indexed="64"/>
      </top>
      <bottom/>
      <diagonal/>
    </border>
    <border>
      <left/>
      <right style="double">
        <color indexed="64"/>
      </right>
      <top/>
      <bottom style="medium">
        <color indexed="64"/>
      </bottom>
      <diagonal/>
    </border>
    <border>
      <left style="thin">
        <color indexed="64"/>
      </left>
      <right style="medium">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bottom style="thin">
        <color indexed="64"/>
      </bottom>
      <diagonal/>
    </border>
    <border diagonalUp="1">
      <left style="thin">
        <color indexed="64"/>
      </left>
      <right style="thin">
        <color indexed="64"/>
      </right>
      <top style="thin">
        <color indexed="64"/>
      </top>
      <bottom style="medium">
        <color indexed="64"/>
      </bottom>
      <diagonal style="thin">
        <color indexed="64"/>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double">
        <color indexed="64"/>
      </left>
      <right style="double">
        <color indexed="64"/>
      </right>
      <top/>
      <bottom style="double">
        <color indexed="64"/>
      </bottom>
      <diagonal/>
    </border>
    <border>
      <left style="thin">
        <color indexed="64"/>
      </left>
      <right style="medium">
        <color indexed="64"/>
      </right>
      <top/>
      <bottom style="double">
        <color indexed="64"/>
      </bottom>
      <diagonal/>
    </border>
    <border>
      <left/>
      <right style="thin">
        <color indexed="64"/>
      </right>
      <top style="double">
        <color indexed="64"/>
      </top>
      <bottom/>
      <diagonal/>
    </border>
    <border>
      <left/>
      <right style="medium">
        <color indexed="64"/>
      </right>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diagonalUp="1">
      <left style="medium">
        <color indexed="64"/>
      </left>
      <right style="medium">
        <color indexed="64"/>
      </right>
      <top style="medium">
        <color indexed="64"/>
      </top>
      <bottom/>
      <diagonal style="thin">
        <color indexed="64"/>
      </diagonal>
    </border>
    <border diagonalUp="1">
      <left style="medium">
        <color indexed="64"/>
      </left>
      <right style="medium">
        <color indexed="64"/>
      </right>
      <top/>
      <bottom style="medium">
        <color indexed="64"/>
      </bottom>
      <diagonal style="thin">
        <color indexed="64"/>
      </diagonal>
    </border>
    <border>
      <left style="thin">
        <color indexed="64"/>
      </left>
      <right style="thin">
        <color indexed="64"/>
      </right>
      <top style="medium">
        <color indexed="64"/>
      </top>
      <bottom/>
      <diagonal/>
    </border>
    <border>
      <left style="double">
        <color indexed="64"/>
      </left>
      <right style="double">
        <color indexed="64"/>
      </right>
      <top/>
      <bottom style="medium">
        <color indexed="64"/>
      </bottom>
      <diagonal/>
    </border>
    <border>
      <left style="medium">
        <color indexed="64"/>
      </left>
      <right/>
      <top style="medium">
        <color indexed="64"/>
      </top>
      <bottom style="thin">
        <color indexed="64"/>
      </bottom>
      <diagonal/>
    </border>
  </borders>
  <cellStyleXfs count="3">
    <xf numFmtId="0" fontId="0" fillId="0" borderId="0"/>
    <xf numFmtId="0" fontId="9" fillId="0" borderId="0">
      <alignment vertical="center"/>
    </xf>
    <xf numFmtId="0" fontId="16" fillId="9" borderId="0" applyNumberFormat="0" applyBorder="0" applyAlignment="0" applyProtection="0">
      <alignment vertical="center"/>
    </xf>
  </cellStyleXfs>
  <cellXfs count="412">
    <xf numFmtId="0" fontId="0" fillId="0" borderId="0" xfId="0"/>
    <xf numFmtId="0" fontId="2" fillId="0" borderId="0" xfId="0" applyFont="1" applyAlignment="1">
      <alignment vertical="center"/>
    </xf>
    <xf numFmtId="0" fontId="2" fillId="0" borderId="1" xfId="0" applyFont="1" applyBorder="1" applyAlignment="1">
      <alignment vertical="center"/>
    </xf>
    <xf numFmtId="0" fontId="2" fillId="0" borderId="2" xfId="0" applyFont="1" applyBorder="1" applyAlignment="1">
      <alignment vertical="center"/>
    </xf>
    <xf numFmtId="0" fontId="2" fillId="0" borderId="3" xfId="0" applyFont="1" applyBorder="1" applyAlignment="1">
      <alignment vertical="center"/>
    </xf>
    <xf numFmtId="0" fontId="2" fillId="0" borderId="4" xfId="0" applyFont="1" applyBorder="1" applyAlignment="1">
      <alignment vertical="center"/>
    </xf>
    <xf numFmtId="0" fontId="2" fillId="0" borderId="5" xfId="0" applyFont="1" applyBorder="1" applyAlignment="1">
      <alignment vertical="center"/>
    </xf>
    <xf numFmtId="0" fontId="2" fillId="0" borderId="6" xfId="0" applyFont="1" applyBorder="1" applyAlignment="1">
      <alignment vertical="center"/>
    </xf>
    <xf numFmtId="0" fontId="3" fillId="0" borderId="0" xfId="0" applyFont="1" applyAlignment="1">
      <alignment vertical="center"/>
    </xf>
    <xf numFmtId="0" fontId="2" fillId="0" borderId="7" xfId="0" applyFont="1" applyFill="1" applyBorder="1" applyAlignment="1">
      <alignment vertical="center"/>
    </xf>
    <xf numFmtId="0" fontId="2" fillId="0" borderId="8" xfId="0" applyFont="1" applyFill="1" applyBorder="1" applyAlignment="1">
      <alignment vertical="center"/>
    </xf>
    <xf numFmtId="0" fontId="2" fillId="0" borderId="9" xfId="0" applyFont="1" applyBorder="1" applyAlignment="1">
      <alignment vertical="center"/>
    </xf>
    <xf numFmtId="0" fontId="2" fillId="0" borderId="0" xfId="0" applyFont="1" applyBorder="1" applyAlignment="1">
      <alignment vertical="center"/>
    </xf>
    <xf numFmtId="0" fontId="2" fillId="0" borderId="10" xfId="0" applyFont="1" applyBorder="1" applyAlignment="1">
      <alignment vertical="center"/>
    </xf>
    <xf numFmtId="0" fontId="2" fillId="0" borderId="11" xfId="0" applyFont="1" applyBorder="1" applyAlignment="1">
      <alignment vertical="center"/>
    </xf>
    <xf numFmtId="0" fontId="2" fillId="0" borderId="12" xfId="0" applyFont="1" applyBorder="1" applyAlignment="1">
      <alignment vertical="center"/>
    </xf>
    <xf numFmtId="0" fontId="2" fillId="0" borderId="13" xfId="0" applyFont="1" applyBorder="1" applyAlignment="1">
      <alignment vertical="center"/>
    </xf>
    <xf numFmtId="0" fontId="2" fillId="0" borderId="14" xfId="0" applyFont="1" applyBorder="1" applyAlignment="1">
      <alignment vertical="center"/>
    </xf>
    <xf numFmtId="0" fontId="2" fillId="0" borderId="15" xfId="0" applyFont="1" applyBorder="1" applyAlignment="1">
      <alignment vertical="center"/>
    </xf>
    <xf numFmtId="0" fontId="2" fillId="2" borderId="16" xfId="0" applyFont="1" applyFill="1" applyBorder="1" applyAlignment="1">
      <alignment vertical="center"/>
    </xf>
    <xf numFmtId="49" fontId="4" fillId="0" borderId="0" xfId="0" applyNumberFormat="1" applyFont="1" applyAlignment="1">
      <alignment horizontal="center" vertical="center"/>
    </xf>
    <xf numFmtId="0" fontId="2" fillId="0" borderId="17" xfId="0" applyFont="1" applyBorder="1" applyAlignment="1">
      <alignment vertical="center"/>
    </xf>
    <xf numFmtId="0" fontId="2" fillId="0" borderId="18" xfId="0" applyFont="1" applyBorder="1" applyAlignment="1">
      <alignment vertical="center"/>
    </xf>
    <xf numFmtId="0" fontId="2" fillId="0" borderId="19" xfId="0" applyFont="1" applyBorder="1" applyAlignment="1">
      <alignment vertical="center"/>
    </xf>
    <xf numFmtId="0" fontId="2" fillId="0" borderId="20" xfId="0" applyFont="1" applyBorder="1" applyAlignment="1">
      <alignment vertical="center"/>
    </xf>
    <xf numFmtId="0" fontId="2" fillId="0" borderId="21" xfId="0" applyFont="1" applyBorder="1" applyAlignment="1">
      <alignment vertical="center"/>
    </xf>
    <xf numFmtId="0" fontId="2" fillId="0" borderId="22" xfId="0" applyFont="1" applyBorder="1" applyAlignment="1">
      <alignment vertical="center"/>
    </xf>
    <xf numFmtId="0" fontId="5" fillId="0" borderId="0" xfId="0" applyFont="1" applyAlignment="1">
      <alignment vertical="center"/>
    </xf>
    <xf numFmtId="0" fontId="2" fillId="0" borderId="23" xfId="0" applyFont="1" applyBorder="1" applyAlignment="1">
      <alignment vertical="center"/>
    </xf>
    <xf numFmtId="0" fontId="2" fillId="0" borderId="24" xfId="0" applyFont="1" applyBorder="1" applyAlignment="1">
      <alignment vertical="center"/>
    </xf>
    <xf numFmtId="0" fontId="2" fillId="0" borderId="25" xfId="0" applyFont="1" applyBorder="1" applyAlignment="1">
      <alignment vertical="center"/>
    </xf>
    <xf numFmtId="0" fontId="6" fillId="0" borderId="9" xfId="0" applyFont="1" applyBorder="1" applyAlignment="1">
      <alignment vertical="center"/>
    </xf>
    <xf numFmtId="0" fontId="6" fillId="0" borderId="0" xfId="0" applyFont="1" applyBorder="1" applyAlignment="1">
      <alignment vertical="center"/>
    </xf>
    <xf numFmtId="0" fontId="2" fillId="0" borderId="9" xfId="0" applyFont="1" applyBorder="1" applyAlignment="1">
      <alignment horizontal="left" vertical="center"/>
    </xf>
    <xf numFmtId="0" fontId="2" fillId="0" borderId="10" xfId="0" applyFont="1" applyBorder="1" applyAlignment="1">
      <alignment horizontal="left" vertical="center"/>
    </xf>
    <xf numFmtId="0" fontId="2" fillId="0" borderId="26" xfId="0" applyFont="1" applyBorder="1" applyAlignment="1">
      <alignment vertical="center"/>
    </xf>
    <xf numFmtId="0" fontId="2" fillId="0" borderId="27" xfId="0" applyFont="1" applyBorder="1" applyAlignment="1">
      <alignment vertical="center"/>
    </xf>
    <xf numFmtId="0" fontId="2" fillId="0" borderId="28" xfId="0" applyFont="1" applyBorder="1" applyAlignment="1">
      <alignment vertical="center"/>
    </xf>
    <xf numFmtId="0" fontId="2" fillId="0" borderId="29" xfId="0" applyFont="1" applyBorder="1" applyAlignment="1">
      <alignment vertical="center"/>
    </xf>
    <xf numFmtId="0" fontId="6" fillId="0" borderId="29" xfId="0" applyFont="1" applyBorder="1" applyAlignment="1">
      <alignment vertical="center"/>
    </xf>
    <xf numFmtId="0" fontId="2" fillId="0" borderId="30" xfId="0" applyFont="1" applyBorder="1" applyAlignment="1">
      <alignment vertical="center"/>
    </xf>
    <xf numFmtId="0" fontId="2" fillId="0" borderId="31" xfId="0" applyFont="1" applyBorder="1" applyAlignment="1">
      <alignment vertical="center"/>
    </xf>
    <xf numFmtId="0" fontId="2" fillId="0" borderId="32" xfId="0" applyFont="1" applyBorder="1" applyAlignment="1">
      <alignment vertical="center"/>
    </xf>
    <xf numFmtId="0" fontId="2" fillId="0" borderId="33" xfId="0" applyFont="1" applyBorder="1" applyAlignment="1">
      <alignment vertical="center"/>
    </xf>
    <xf numFmtId="0" fontId="2" fillId="0" borderId="34" xfId="0" applyFont="1" applyBorder="1" applyAlignment="1">
      <alignment vertical="center"/>
    </xf>
    <xf numFmtId="0" fontId="2" fillId="0" borderId="35" xfId="0" applyFont="1" applyBorder="1" applyAlignment="1">
      <alignment vertical="center"/>
    </xf>
    <xf numFmtId="0" fontId="2" fillId="0" borderId="36" xfId="0" applyFont="1" applyBorder="1" applyAlignment="1">
      <alignment vertical="center"/>
    </xf>
    <xf numFmtId="0" fontId="2" fillId="0" borderId="37" xfId="0" applyFont="1" applyBorder="1" applyAlignment="1">
      <alignment vertical="center"/>
    </xf>
    <xf numFmtId="0" fontId="2" fillId="0" borderId="38" xfId="0" applyFont="1" applyBorder="1" applyAlignment="1">
      <alignment vertical="center"/>
    </xf>
    <xf numFmtId="0" fontId="2" fillId="0" borderId="34" xfId="0" applyFont="1" applyBorder="1" applyAlignment="1">
      <alignment horizontal="left" vertical="center"/>
    </xf>
    <xf numFmtId="0" fontId="2" fillId="0" borderId="39" xfId="0" applyFont="1" applyBorder="1" applyAlignment="1">
      <alignment horizontal="left" vertical="center"/>
    </xf>
    <xf numFmtId="0" fontId="2" fillId="0" borderId="40" xfId="0" applyFont="1" applyBorder="1" applyAlignment="1">
      <alignment vertical="center"/>
    </xf>
    <xf numFmtId="0" fontId="2" fillId="0" borderId="41" xfId="0" applyFont="1" applyBorder="1" applyAlignment="1">
      <alignment vertical="center"/>
    </xf>
    <xf numFmtId="0" fontId="2" fillId="0" borderId="39" xfId="0" applyFont="1" applyBorder="1" applyAlignment="1">
      <alignment vertical="center"/>
    </xf>
    <xf numFmtId="0" fontId="2" fillId="0" borderId="42" xfId="0" applyFont="1" applyBorder="1" applyAlignment="1">
      <alignment vertical="center"/>
    </xf>
    <xf numFmtId="0" fontId="2" fillId="0" borderId="43" xfId="0" applyFont="1" applyBorder="1" applyAlignment="1">
      <alignment vertical="center"/>
    </xf>
    <xf numFmtId="0" fontId="2" fillId="0" borderId="44" xfId="0" applyFont="1" applyBorder="1" applyAlignment="1">
      <alignment vertical="center"/>
    </xf>
    <xf numFmtId="0" fontId="2" fillId="0" borderId="45" xfId="0" applyFont="1" applyBorder="1" applyAlignment="1">
      <alignment vertical="center"/>
    </xf>
    <xf numFmtId="0" fontId="2" fillId="2" borderId="46" xfId="0" applyFont="1" applyFill="1" applyBorder="1" applyAlignment="1">
      <alignment vertical="center"/>
    </xf>
    <xf numFmtId="0" fontId="2" fillId="2" borderId="47" xfId="0" applyFont="1" applyFill="1" applyBorder="1" applyAlignment="1">
      <alignment vertical="center"/>
    </xf>
    <xf numFmtId="0" fontId="6" fillId="0" borderId="34" xfId="0" applyFont="1" applyBorder="1" applyAlignment="1">
      <alignment horizontal="left" vertical="center"/>
    </xf>
    <xf numFmtId="0" fontId="6" fillId="0" borderId="26" xfId="0" applyFont="1" applyBorder="1" applyAlignment="1">
      <alignment horizontal="left" vertical="center"/>
    </xf>
    <xf numFmtId="0" fontId="6" fillId="0" borderId="34" xfId="0" applyFont="1" applyBorder="1" applyAlignment="1">
      <alignment vertical="center"/>
    </xf>
    <xf numFmtId="0" fontId="2" fillId="0" borderId="28" xfId="0" applyFont="1" applyFill="1" applyBorder="1" applyAlignment="1">
      <alignment vertical="center"/>
    </xf>
    <xf numFmtId="0" fontId="2" fillId="0" borderId="48" xfId="0" applyFont="1" applyBorder="1" applyAlignment="1">
      <alignment vertical="center"/>
    </xf>
    <xf numFmtId="0" fontId="2" fillId="0" borderId="49" xfId="0" applyFont="1" applyBorder="1" applyAlignment="1">
      <alignment horizontal="left" vertical="center"/>
    </xf>
    <xf numFmtId="0" fontId="2" fillId="0" borderId="37" xfId="0" applyFont="1" applyBorder="1" applyAlignment="1">
      <alignment horizontal="left" vertical="center"/>
    </xf>
    <xf numFmtId="0" fontId="2" fillId="0" borderId="50" xfId="0" applyFont="1" applyBorder="1" applyAlignment="1">
      <alignment vertical="center"/>
    </xf>
    <xf numFmtId="0" fontId="2" fillId="0" borderId="51" xfId="0" applyFont="1" applyFill="1" applyBorder="1" applyAlignment="1">
      <alignment vertical="center"/>
    </xf>
    <xf numFmtId="0" fontId="2" fillId="0" borderId="52" xfId="0" applyFont="1" applyBorder="1" applyAlignment="1">
      <alignment vertical="center"/>
    </xf>
    <xf numFmtId="0" fontId="2" fillId="0" borderId="53" xfId="0" applyFont="1" applyFill="1" applyBorder="1" applyAlignment="1">
      <alignment vertical="center"/>
    </xf>
    <xf numFmtId="0" fontId="2" fillId="0" borderId="0" xfId="0" applyFont="1" applyFill="1" applyBorder="1" applyAlignment="1">
      <alignment vertical="center"/>
    </xf>
    <xf numFmtId="0" fontId="2" fillId="0" borderId="13" xfId="0" applyFont="1" applyBorder="1" applyAlignment="1">
      <alignment horizontal="center" vertical="center"/>
    </xf>
    <xf numFmtId="0" fontId="2" fillId="0" borderId="54" xfId="0" applyFont="1" applyBorder="1" applyAlignment="1">
      <alignment vertical="center"/>
    </xf>
    <xf numFmtId="0" fontId="3" fillId="0" borderId="0" xfId="0" applyFont="1" applyAlignment="1">
      <alignment horizontal="center" vertical="center"/>
    </xf>
    <xf numFmtId="0" fontId="11" fillId="3" borderId="13" xfId="1" applyFont="1" applyFill="1" applyBorder="1" applyAlignment="1">
      <alignment horizontal="center" vertical="center"/>
    </xf>
    <xf numFmtId="0" fontId="12" fillId="0" borderId="13" xfId="1" applyFont="1" applyFill="1" applyBorder="1" applyAlignment="1">
      <alignment horizontal="center" vertical="center"/>
    </xf>
    <xf numFmtId="0" fontId="12" fillId="0" borderId="13" xfId="1" applyFont="1" applyBorder="1" applyAlignment="1">
      <alignment horizontal="center" vertical="center"/>
    </xf>
    <xf numFmtId="0" fontId="12" fillId="4" borderId="13" xfId="1" applyFont="1" applyFill="1" applyBorder="1" applyAlignment="1">
      <alignment horizontal="center" vertical="center"/>
    </xf>
    <xf numFmtId="0" fontId="12" fillId="0" borderId="41" xfId="1" applyFont="1" applyFill="1" applyBorder="1" applyAlignment="1">
      <alignment horizontal="center" vertical="center"/>
    </xf>
    <xf numFmtId="0" fontId="12" fillId="0" borderId="41" xfId="1" applyFont="1" applyBorder="1" applyAlignment="1">
      <alignment horizontal="center" vertical="center"/>
    </xf>
    <xf numFmtId="0" fontId="13" fillId="0" borderId="55" xfId="0" applyFont="1" applyBorder="1" applyAlignment="1">
      <alignment horizontal="left" vertical="center"/>
    </xf>
    <xf numFmtId="0" fontId="13" fillId="0" borderId="11" xfId="0" applyFont="1" applyBorder="1" applyAlignment="1">
      <alignment horizontal="left" vertical="center"/>
    </xf>
    <xf numFmtId="0" fontId="13" fillId="0" borderId="19" xfId="0" applyFont="1" applyBorder="1" applyAlignment="1">
      <alignment horizontal="left" vertical="center"/>
    </xf>
    <xf numFmtId="0" fontId="2" fillId="0" borderId="56" xfId="0" applyFont="1" applyBorder="1" applyAlignment="1">
      <alignment vertical="center"/>
    </xf>
    <xf numFmtId="0" fontId="13" fillId="0" borderId="13" xfId="0" applyFont="1" applyBorder="1" applyAlignment="1">
      <alignment horizontal="left" vertical="center" shrinkToFit="1"/>
    </xf>
    <xf numFmtId="0" fontId="13" fillId="0" borderId="14" xfId="0" applyFont="1" applyBorder="1" applyAlignment="1">
      <alignment vertical="center"/>
    </xf>
    <xf numFmtId="0" fontId="2" fillId="0" borderId="57" xfId="0" applyFont="1" applyBorder="1" applyAlignment="1">
      <alignment vertical="center"/>
    </xf>
    <xf numFmtId="0" fontId="2" fillId="0" borderId="58" xfId="0" applyFont="1" applyBorder="1" applyAlignment="1">
      <alignment vertical="center"/>
    </xf>
    <xf numFmtId="0" fontId="12" fillId="0" borderId="57" xfId="1" applyFont="1" applyBorder="1" applyAlignment="1">
      <alignment horizontal="center" vertical="center"/>
    </xf>
    <xf numFmtId="0" fontId="2" fillId="5" borderId="59" xfId="0" applyFont="1" applyFill="1" applyBorder="1" applyAlignment="1">
      <alignment horizontal="center" vertical="center"/>
    </xf>
    <xf numFmtId="0" fontId="13" fillId="5" borderId="59" xfId="0" applyFont="1" applyFill="1" applyBorder="1" applyAlignment="1">
      <alignment horizontal="center" vertical="center"/>
    </xf>
    <xf numFmtId="0" fontId="11" fillId="3" borderId="57" xfId="1" applyFont="1" applyFill="1" applyBorder="1" applyAlignment="1">
      <alignment horizontal="center" vertical="center"/>
    </xf>
    <xf numFmtId="0" fontId="0" fillId="0" borderId="0" xfId="0" applyBorder="1" applyAlignment="1">
      <alignment horizontal="center"/>
    </xf>
    <xf numFmtId="179" fontId="0" fillId="0" borderId="0" xfId="0" applyNumberFormat="1" applyBorder="1" applyAlignment="1">
      <alignment horizontal="center"/>
    </xf>
    <xf numFmtId="0" fontId="9" fillId="0" borderId="0" xfId="1" applyFont="1" applyFill="1" applyBorder="1" applyAlignment="1">
      <alignment horizontal="center" vertical="center"/>
    </xf>
    <xf numFmtId="0" fontId="9" fillId="0" borderId="0" xfId="1" applyFont="1" applyBorder="1" applyAlignment="1">
      <alignment horizontal="center" vertical="center"/>
    </xf>
    <xf numFmtId="0" fontId="14" fillId="0" borderId="0" xfId="0" applyFont="1" applyBorder="1" applyAlignment="1">
      <alignment horizontal="center"/>
    </xf>
    <xf numFmtId="179" fontId="14" fillId="0" borderId="0" xfId="0" applyNumberFormat="1" applyFont="1" applyBorder="1" applyAlignment="1">
      <alignment horizontal="center"/>
    </xf>
    <xf numFmtId="179" fontId="17" fillId="0" borderId="0" xfId="0" applyNumberFormat="1" applyFont="1" applyFill="1" applyBorder="1" applyAlignment="1">
      <alignment horizontal="center"/>
    </xf>
    <xf numFmtId="0" fontId="17" fillId="0" borderId="0" xfId="0" applyFont="1" applyFill="1" applyBorder="1" applyAlignment="1">
      <alignment horizontal="center"/>
    </xf>
    <xf numFmtId="0" fontId="17" fillId="0" borderId="0" xfId="0" applyFont="1" applyBorder="1" applyAlignment="1">
      <alignment horizontal="center"/>
    </xf>
    <xf numFmtId="0" fontId="12" fillId="0" borderId="57" xfId="0" applyFont="1" applyFill="1" applyBorder="1" applyAlignment="1">
      <alignment vertical="center"/>
    </xf>
    <xf numFmtId="0" fontId="12" fillId="0" borderId="12" xfId="0" applyFont="1" applyFill="1" applyBorder="1" applyAlignment="1">
      <alignment vertical="center"/>
    </xf>
    <xf numFmtId="0" fontId="12" fillId="0" borderId="13" xfId="0" applyFont="1" applyFill="1" applyBorder="1" applyAlignment="1">
      <alignment vertical="center"/>
    </xf>
    <xf numFmtId="0" fontId="12" fillId="0" borderId="13" xfId="0" applyFont="1" applyFill="1" applyBorder="1" applyAlignment="1">
      <alignment horizontal="center" vertical="center"/>
    </xf>
    <xf numFmtId="0" fontId="12" fillId="0" borderId="13" xfId="0" applyFont="1" applyBorder="1" applyAlignment="1">
      <alignment horizontal="center" vertical="center"/>
    </xf>
    <xf numFmtId="0" fontId="2" fillId="0" borderId="60" xfId="0" applyFont="1" applyBorder="1" applyAlignment="1">
      <alignment vertical="center"/>
    </xf>
    <xf numFmtId="0" fontId="2" fillId="0" borderId="61" xfId="0" applyFont="1" applyBorder="1" applyAlignment="1">
      <alignment vertical="center"/>
    </xf>
    <xf numFmtId="0" fontId="2" fillId="0" borderId="62" xfId="0" applyFont="1" applyBorder="1" applyAlignment="1">
      <alignment vertical="center"/>
    </xf>
    <xf numFmtId="0" fontId="2" fillId="0" borderId="60" xfId="0" applyFont="1" applyFill="1" applyBorder="1" applyAlignment="1">
      <alignment vertical="center"/>
    </xf>
    <xf numFmtId="0" fontId="2" fillId="0" borderId="63" xfId="0" applyFont="1" applyBorder="1" applyAlignment="1">
      <alignment vertical="center"/>
    </xf>
    <xf numFmtId="0" fontId="2" fillId="0" borderId="63" xfId="0" applyFont="1" applyFill="1" applyBorder="1" applyAlignment="1">
      <alignment vertical="center"/>
    </xf>
    <xf numFmtId="0" fontId="12" fillId="10" borderId="13" xfId="0" applyFont="1" applyFill="1" applyBorder="1" applyAlignment="1">
      <alignment horizontal="center" vertical="center"/>
    </xf>
    <xf numFmtId="0" fontId="12" fillId="0" borderId="10" xfId="0" applyFont="1" applyFill="1" applyBorder="1" applyAlignment="1">
      <alignment vertical="center"/>
    </xf>
    <xf numFmtId="0" fontId="12" fillId="0" borderId="14" xfId="0" applyFont="1" applyFill="1" applyBorder="1" applyAlignment="1">
      <alignment vertical="center"/>
    </xf>
    <xf numFmtId="0" fontId="12" fillId="0" borderId="64" xfId="0" applyFont="1" applyFill="1" applyBorder="1" applyAlignment="1">
      <alignment vertical="center"/>
    </xf>
    <xf numFmtId="0" fontId="12" fillId="0" borderId="64" xfId="0" applyFont="1" applyFill="1" applyBorder="1" applyAlignment="1">
      <alignment horizontal="center" vertical="center"/>
    </xf>
    <xf numFmtId="0" fontId="12" fillId="0" borderId="40" xfId="1" applyFont="1" applyFill="1" applyBorder="1" applyAlignment="1">
      <alignment horizontal="center" vertical="center"/>
    </xf>
    <xf numFmtId="0" fontId="12" fillId="0" borderId="39" xfId="0" applyFont="1" applyFill="1" applyBorder="1" applyAlignment="1">
      <alignment vertical="center"/>
    </xf>
    <xf numFmtId="0" fontId="12" fillId="0" borderId="27" xfId="0" applyFont="1" applyFill="1" applyBorder="1" applyAlignment="1">
      <alignment vertical="center"/>
    </xf>
    <xf numFmtId="0" fontId="12" fillId="0" borderId="40" xfId="0" applyFont="1" applyFill="1" applyBorder="1" applyAlignment="1">
      <alignment vertical="center"/>
    </xf>
    <xf numFmtId="0" fontId="12" fillId="0" borderId="40" xfId="0" applyFont="1" applyFill="1" applyBorder="1" applyAlignment="1">
      <alignment horizontal="center" vertical="center"/>
    </xf>
    <xf numFmtId="0" fontId="12" fillId="0" borderId="40" xfId="0" applyFont="1" applyBorder="1" applyAlignment="1">
      <alignment horizontal="center" vertical="center"/>
    </xf>
    <xf numFmtId="0" fontId="12" fillId="0" borderId="13" xfId="1" applyFont="1" applyBorder="1" applyAlignment="1">
      <alignment vertical="center"/>
    </xf>
    <xf numFmtId="0" fontId="12" fillId="0" borderId="0" xfId="1" applyFont="1" applyAlignment="1">
      <alignment horizontal="center" vertical="center"/>
    </xf>
    <xf numFmtId="0" fontId="16" fillId="9" borderId="0" xfId="2" applyAlignment="1">
      <alignment vertical="center"/>
    </xf>
    <xf numFmtId="0" fontId="12" fillId="0" borderId="40" xfId="0" applyFont="1" applyBorder="1" applyAlignment="1">
      <alignment horizontal="center"/>
    </xf>
    <xf numFmtId="0" fontId="12" fillId="0" borderId="40" xfId="0" applyFont="1" applyFill="1" applyBorder="1" applyAlignment="1">
      <alignment horizontal="center"/>
    </xf>
    <xf numFmtId="0" fontId="12" fillId="0" borderId="9" xfId="0" applyFont="1" applyBorder="1" applyAlignment="1">
      <alignment vertical="center"/>
    </xf>
    <xf numFmtId="0" fontId="12" fillId="0" borderId="13" xfId="0" applyFont="1" applyBorder="1" applyAlignment="1">
      <alignment vertical="center"/>
    </xf>
    <xf numFmtId="0" fontId="12" fillId="0" borderId="57" xfId="0" applyFont="1" applyBorder="1" applyAlignment="1">
      <alignment vertical="center"/>
    </xf>
    <xf numFmtId="0" fontId="12" fillId="0" borderId="27" xfId="0" applyFont="1" applyBorder="1" applyAlignment="1">
      <alignment vertical="center"/>
    </xf>
    <xf numFmtId="0" fontId="12" fillId="0" borderId="40" xfId="0" applyFont="1" applyBorder="1" applyAlignment="1">
      <alignment vertical="center"/>
    </xf>
    <xf numFmtId="0" fontId="12" fillId="0" borderId="13" xfId="0" applyFont="1" applyBorder="1" applyAlignment="1">
      <alignment horizontal="center"/>
    </xf>
    <xf numFmtId="0" fontId="12" fillId="0" borderId="27" xfId="0" applyFont="1" applyBorder="1" applyAlignment="1">
      <alignment horizontal="center"/>
    </xf>
    <xf numFmtId="0" fontId="12" fillId="0" borderId="26" xfId="0" applyFont="1" applyBorder="1" applyAlignment="1">
      <alignment horizontal="center"/>
    </xf>
    <xf numFmtId="0" fontId="12" fillId="0" borderId="39" xfId="0" applyFont="1" applyFill="1" applyBorder="1" applyAlignment="1">
      <alignment horizontal="center"/>
    </xf>
    <xf numFmtId="0" fontId="12" fillId="0" borderId="11" xfId="0" applyFont="1" applyBorder="1" applyAlignment="1">
      <alignment horizontal="center"/>
    </xf>
    <xf numFmtId="0" fontId="12" fillId="0" borderId="57" xfId="0" applyFont="1" applyBorder="1" applyAlignment="1">
      <alignment horizontal="center"/>
    </xf>
    <xf numFmtId="0" fontId="12" fillId="0" borderId="12" xfId="0" applyFont="1" applyFill="1" applyBorder="1" applyAlignment="1">
      <alignment horizontal="center"/>
    </xf>
    <xf numFmtId="0" fontId="12" fillId="0" borderId="13" xfId="0" applyFont="1" applyFill="1" applyBorder="1" applyAlignment="1">
      <alignment horizontal="center"/>
    </xf>
    <xf numFmtId="0" fontId="12" fillId="0" borderId="0" xfId="0" applyFont="1" applyAlignment="1">
      <alignment horizontal="center"/>
    </xf>
    <xf numFmtId="0" fontId="12" fillId="0" borderId="13" xfId="1" applyFont="1" applyFill="1" applyBorder="1" applyAlignment="1">
      <alignment vertical="center"/>
    </xf>
    <xf numFmtId="0" fontId="12" fillId="0" borderId="57" xfId="1" applyFont="1" applyFill="1" applyBorder="1" applyAlignment="1">
      <alignment vertical="center"/>
    </xf>
    <xf numFmtId="0" fontId="12" fillId="0" borderId="12" xfId="1" applyFont="1" applyFill="1" applyBorder="1" applyAlignment="1">
      <alignment vertical="center"/>
    </xf>
    <xf numFmtId="0" fontId="12" fillId="0" borderId="12" xfId="1" applyFont="1" applyBorder="1" applyAlignment="1">
      <alignment vertical="center"/>
    </xf>
    <xf numFmtId="0" fontId="12" fillId="0" borderId="40" xfId="0" applyFont="1" applyBorder="1" applyAlignment="1"/>
    <xf numFmtId="0" fontId="12" fillId="0" borderId="39" xfId="0" applyFont="1" applyBorder="1" applyAlignment="1"/>
    <xf numFmtId="0" fontId="12" fillId="0" borderId="27" xfId="0" applyFont="1" applyBorder="1" applyAlignment="1"/>
    <xf numFmtId="0" fontId="12" fillId="0" borderId="0" xfId="0" applyFont="1" applyAlignment="1"/>
    <xf numFmtId="0" fontId="12" fillId="0" borderId="57" xfId="0" applyFont="1" applyFill="1" applyBorder="1" applyAlignment="1"/>
    <xf numFmtId="0" fontId="12" fillId="0" borderId="27" xfId="0" applyFont="1" applyFill="1" applyBorder="1" applyAlignment="1"/>
    <xf numFmtId="0" fontId="12" fillId="0" borderId="26" xfId="1" applyFont="1" applyBorder="1" applyAlignment="1">
      <alignment vertical="center"/>
    </xf>
    <xf numFmtId="0" fontId="12" fillId="0" borderId="26" xfId="0" applyFont="1" applyBorder="1" applyAlignment="1"/>
    <xf numFmtId="0" fontId="12" fillId="0" borderId="11" xfId="0" applyFont="1" applyBorder="1" applyAlignment="1"/>
    <xf numFmtId="0" fontId="12" fillId="0" borderId="13" xfId="0" applyFont="1" applyBorder="1" applyAlignment="1"/>
    <xf numFmtId="49" fontId="12" fillId="0" borderId="13" xfId="0" applyNumberFormat="1" applyFont="1" applyBorder="1" applyAlignment="1"/>
    <xf numFmtId="0" fontId="12" fillId="0" borderId="57" xfId="1" applyFont="1" applyFill="1" applyBorder="1" applyAlignment="1">
      <alignment horizontal="center" vertical="center"/>
    </xf>
    <xf numFmtId="0" fontId="12" fillId="0" borderId="27" xfId="0" applyFont="1" applyFill="1" applyBorder="1" applyAlignment="1">
      <alignment horizontal="center"/>
    </xf>
    <xf numFmtId="0" fontId="2" fillId="0" borderId="0" xfId="0" applyFont="1" applyBorder="1" applyAlignment="1">
      <alignment horizontal="left" vertical="center"/>
    </xf>
    <xf numFmtId="0" fontId="2" fillId="0" borderId="9" xfId="0" applyFont="1" applyBorder="1" applyAlignment="1">
      <alignment horizontal="center" vertical="center"/>
    </xf>
    <xf numFmtId="0" fontId="2" fillId="0" borderId="36" xfId="0" applyFont="1" applyBorder="1" applyAlignment="1">
      <alignment horizontal="center" vertical="center"/>
    </xf>
    <xf numFmtId="0" fontId="2" fillId="0" borderId="38" xfId="0" applyFont="1" applyBorder="1" applyAlignment="1">
      <alignment horizontal="center" vertical="center"/>
    </xf>
    <xf numFmtId="0" fontId="2" fillId="0" borderId="17" xfId="0" applyFont="1" applyBorder="1" applyAlignment="1">
      <alignment horizontal="center" vertical="center"/>
    </xf>
    <xf numFmtId="0" fontId="2" fillId="0" borderId="65" xfId="0" applyFont="1" applyBorder="1" applyAlignment="1">
      <alignment horizontal="center" vertical="center"/>
    </xf>
    <xf numFmtId="0" fontId="2" fillId="0" borderId="66" xfId="0" applyFont="1" applyBorder="1" applyAlignment="1">
      <alignment vertical="center"/>
    </xf>
    <xf numFmtId="0" fontId="2" fillId="0" borderId="67" xfId="0" applyFont="1" applyBorder="1" applyAlignment="1">
      <alignment vertical="center"/>
    </xf>
    <xf numFmtId="0" fontId="6" fillId="0" borderId="26" xfId="0" applyFont="1" applyBorder="1" applyAlignment="1">
      <alignment vertical="center"/>
    </xf>
    <xf numFmtId="0" fontId="2" fillId="0" borderId="26" xfId="0" applyFont="1" applyBorder="1" applyAlignment="1">
      <alignment horizontal="left" vertical="center"/>
    </xf>
    <xf numFmtId="0" fontId="2" fillId="2" borderId="68" xfId="0" applyFont="1" applyFill="1" applyBorder="1" applyAlignment="1">
      <alignment vertical="center"/>
    </xf>
    <xf numFmtId="0" fontId="2" fillId="0" borderId="69" xfId="0" applyFont="1" applyBorder="1" applyAlignment="1">
      <alignment vertical="center"/>
    </xf>
    <xf numFmtId="0" fontId="6" fillId="0" borderId="0" xfId="0" applyFont="1" applyBorder="1" applyAlignment="1">
      <alignment horizontal="left" vertical="center"/>
    </xf>
    <xf numFmtId="0" fontId="2" fillId="0" borderId="27" xfId="0" applyFont="1" applyBorder="1" applyAlignment="1">
      <alignment horizontal="left" vertical="center"/>
    </xf>
    <xf numFmtId="0" fontId="2" fillId="0" borderId="10" xfId="0" applyFont="1" applyBorder="1" applyAlignment="1">
      <alignment horizontal="center" vertical="center"/>
    </xf>
    <xf numFmtId="0" fontId="2" fillId="0" borderId="70" xfId="0" applyFont="1" applyBorder="1" applyAlignment="1">
      <alignment vertical="center"/>
    </xf>
    <xf numFmtId="0" fontId="2" fillId="0" borderId="49" xfId="0" applyFont="1" applyBorder="1" applyAlignment="1">
      <alignment vertical="center"/>
    </xf>
    <xf numFmtId="0" fontId="2" fillId="0" borderId="51" xfId="0" applyFont="1" applyBorder="1" applyAlignment="1">
      <alignment vertical="center"/>
    </xf>
    <xf numFmtId="0" fontId="2" fillId="0" borderId="31" xfId="0" applyFont="1" applyBorder="1" applyAlignment="1">
      <alignment horizontal="left" vertical="center"/>
    </xf>
    <xf numFmtId="0" fontId="2" fillId="0" borderId="43" xfId="0" applyFont="1" applyBorder="1" applyAlignment="1">
      <alignment horizontal="left" vertical="center"/>
    </xf>
    <xf numFmtId="0" fontId="2" fillId="0" borderId="42" xfId="0" applyFont="1" applyBorder="1" applyAlignment="1">
      <alignment horizontal="left" vertical="center"/>
    </xf>
    <xf numFmtId="0" fontId="2" fillId="0" borderId="64" xfId="0" applyFont="1" applyBorder="1" applyAlignment="1">
      <alignment vertical="center"/>
    </xf>
    <xf numFmtId="0" fontId="2" fillId="0" borderId="64" xfId="0" applyFont="1" applyBorder="1" applyAlignment="1">
      <alignment horizontal="left" vertical="center"/>
    </xf>
    <xf numFmtId="0" fontId="2" fillId="0" borderId="30" xfId="0" applyFont="1" applyBorder="1" applyAlignment="1">
      <alignment horizontal="left" vertical="center"/>
    </xf>
    <xf numFmtId="0" fontId="2" fillId="0" borderId="67" xfId="0" applyFont="1" applyFill="1" applyBorder="1" applyAlignment="1">
      <alignment vertical="center"/>
    </xf>
    <xf numFmtId="0" fontId="2" fillId="0" borderId="22" xfId="0" applyFont="1" applyFill="1" applyBorder="1" applyAlignment="1">
      <alignment vertical="center"/>
    </xf>
    <xf numFmtId="0" fontId="2" fillId="0" borderId="18" xfId="0" applyFont="1" applyBorder="1" applyAlignment="1">
      <alignment horizontal="center" vertical="center"/>
    </xf>
    <xf numFmtId="0" fontId="6" fillId="0" borderId="27" xfId="0" applyFont="1" applyBorder="1" applyAlignment="1">
      <alignment vertical="center"/>
    </xf>
    <xf numFmtId="0" fontId="6" fillId="0" borderId="14" xfId="0" applyFont="1" applyBorder="1" applyAlignment="1">
      <alignment vertical="center"/>
    </xf>
    <xf numFmtId="0" fontId="4" fillId="0" borderId="0" xfId="0" applyFont="1" applyBorder="1" applyAlignment="1">
      <alignment vertical="center"/>
    </xf>
    <xf numFmtId="0" fontId="2" fillId="0" borderId="71" xfId="0" applyFont="1" applyBorder="1" applyAlignment="1">
      <alignment vertical="center"/>
    </xf>
    <xf numFmtId="0" fontId="2" fillId="0" borderId="72" xfId="0" applyFont="1" applyBorder="1" applyAlignment="1">
      <alignment horizontal="right" vertical="center"/>
    </xf>
    <xf numFmtId="0" fontId="2" fillId="0" borderId="72" xfId="0" applyFont="1" applyBorder="1" applyAlignment="1">
      <alignment horizontal="center" vertical="center"/>
    </xf>
    <xf numFmtId="0" fontId="7" fillId="0" borderId="73" xfId="0" applyFont="1" applyBorder="1" applyAlignment="1">
      <alignment horizontal="center" vertical="center"/>
    </xf>
    <xf numFmtId="0" fontId="2" fillId="0" borderId="74" xfId="0" applyFont="1" applyBorder="1" applyAlignment="1">
      <alignment vertical="center"/>
    </xf>
    <xf numFmtId="0" fontId="0" fillId="0" borderId="22" xfId="0" applyBorder="1"/>
    <xf numFmtId="0" fontId="0" fillId="0" borderId="18" xfId="0" applyBorder="1"/>
    <xf numFmtId="0" fontId="0" fillId="0" borderId="75" xfId="0" applyBorder="1"/>
    <xf numFmtId="0" fontId="0" fillId="0" borderId="73" xfId="0" applyBorder="1"/>
    <xf numFmtId="0" fontId="1" fillId="0" borderId="61" xfId="0" applyFont="1" applyBorder="1" applyAlignment="1">
      <alignment vertical="center"/>
    </xf>
    <xf numFmtId="0" fontId="2" fillId="0" borderId="9" xfId="0" applyFont="1" applyBorder="1" applyAlignment="1">
      <alignment vertical="top"/>
    </xf>
    <xf numFmtId="0" fontId="0" fillId="0" borderId="76" xfId="0" applyBorder="1" applyAlignment="1">
      <alignment horizontal="center"/>
    </xf>
    <xf numFmtId="0" fontId="0" fillId="0" borderId="13" xfId="0" applyFill="1" applyBorder="1" applyAlignment="1">
      <alignment horizontal="center"/>
    </xf>
    <xf numFmtId="0" fontId="0" fillId="0" borderId="77" xfId="0" applyBorder="1" applyAlignment="1">
      <alignment horizontal="center"/>
    </xf>
    <xf numFmtId="0" fontId="0" fillId="0" borderId="13" xfId="0" applyBorder="1" applyAlignment="1">
      <alignment horizontal="center"/>
    </xf>
    <xf numFmtId="0" fontId="2" fillId="0" borderId="2" xfId="0" applyFont="1" applyBorder="1" applyAlignment="1">
      <alignment horizontal="left" vertical="top"/>
    </xf>
    <xf numFmtId="0" fontId="4" fillId="0" borderId="2" xfId="0" applyFont="1" applyBorder="1" applyAlignment="1">
      <alignment vertical="center"/>
    </xf>
    <xf numFmtId="0" fontId="2" fillId="0" borderId="1" xfId="0" applyFont="1" applyBorder="1" applyAlignment="1">
      <alignment vertical="top"/>
    </xf>
    <xf numFmtId="0" fontId="0" fillId="0" borderId="67" xfId="0" applyBorder="1"/>
    <xf numFmtId="0" fontId="0" fillId="0" borderId="2" xfId="0" applyBorder="1"/>
    <xf numFmtId="0" fontId="0" fillId="0" borderId="1" xfId="0" applyBorder="1"/>
    <xf numFmtId="0" fontId="2" fillId="6" borderId="0" xfId="0" applyFont="1" applyFill="1" applyBorder="1" applyAlignment="1">
      <alignment vertical="center"/>
    </xf>
    <xf numFmtId="0" fontId="6" fillId="6" borderId="0" xfId="0" applyFont="1" applyFill="1" applyBorder="1" applyAlignment="1">
      <alignment vertical="center"/>
    </xf>
    <xf numFmtId="0" fontId="2" fillId="6" borderId="22" xfId="0" applyFont="1" applyFill="1" applyBorder="1" applyAlignment="1">
      <alignment vertical="center"/>
    </xf>
    <xf numFmtId="0" fontId="2" fillId="7" borderId="53" xfId="0" applyFont="1" applyFill="1" applyBorder="1" applyAlignment="1">
      <alignment vertical="center"/>
    </xf>
    <xf numFmtId="0" fontId="2" fillId="0" borderId="21" xfId="0" applyFont="1" applyBorder="1" applyAlignment="1">
      <alignment horizontal="center" vertical="center"/>
    </xf>
    <xf numFmtId="0" fontId="2" fillId="6" borderId="15" xfId="0" applyFont="1" applyFill="1" applyBorder="1" applyAlignment="1">
      <alignment vertical="center"/>
    </xf>
    <xf numFmtId="0" fontId="2" fillId="7" borderId="51" xfId="0" applyFont="1" applyFill="1" applyBorder="1" applyAlignment="1">
      <alignment vertical="center"/>
    </xf>
    <xf numFmtId="0" fontId="2" fillId="7" borderId="78" xfId="0" applyFont="1" applyFill="1" applyBorder="1" applyAlignment="1">
      <alignment vertical="center"/>
    </xf>
    <xf numFmtId="0" fontId="2" fillId="0" borderId="79" xfId="0" applyFont="1" applyBorder="1" applyAlignment="1">
      <alignment vertical="center"/>
    </xf>
    <xf numFmtId="0" fontId="2" fillId="7" borderId="70" xfId="0" applyFont="1" applyFill="1" applyBorder="1" applyAlignment="1">
      <alignment vertical="center"/>
    </xf>
    <xf numFmtId="0" fontId="2" fillId="0" borderId="46" xfId="0" applyFont="1" applyBorder="1" applyAlignment="1">
      <alignment vertical="center"/>
    </xf>
    <xf numFmtId="0" fontId="2" fillId="7" borderId="80" xfId="0" applyFont="1" applyFill="1" applyBorder="1" applyAlignment="1">
      <alignment vertical="center"/>
    </xf>
    <xf numFmtId="0" fontId="2" fillId="6" borderId="79" xfId="0" applyFont="1" applyFill="1" applyBorder="1" applyAlignment="1">
      <alignment vertical="center"/>
    </xf>
    <xf numFmtId="0" fontId="2" fillId="6" borderId="46" xfId="0" applyFont="1" applyFill="1" applyBorder="1" applyAlignment="1">
      <alignment vertical="center"/>
    </xf>
    <xf numFmtId="0" fontId="2" fillId="0" borderId="81" xfId="0" applyFont="1" applyBorder="1" applyAlignment="1">
      <alignment vertical="center"/>
    </xf>
    <xf numFmtId="0" fontId="2" fillId="0" borderId="82" xfId="0" applyFont="1" applyBorder="1" applyAlignment="1">
      <alignment vertical="center"/>
    </xf>
    <xf numFmtId="0" fontId="4" fillId="0" borderId="21" xfId="0" applyFont="1" applyBorder="1" applyAlignment="1">
      <alignment vertical="center"/>
    </xf>
    <xf numFmtId="0" fontId="0" fillId="0" borderId="0" xfId="0" applyAlignment="1">
      <alignment horizontal="center" vertical="center"/>
    </xf>
    <xf numFmtId="0" fontId="0" fillId="0" borderId="0" xfId="0" applyBorder="1" applyAlignment="1">
      <alignment horizontal="center" vertical="center"/>
    </xf>
    <xf numFmtId="0" fontId="0" fillId="0" borderId="16" xfId="0" applyBorder="1" applyAlignment="1">
      <alignment horizontal="center" vertical="center"/>
    </xf>
    <xf numFmtId="0" fontId="0" fillId="7" borderId="83" xfId="0" applyFill="1" applyBorder="1" applyAlignment="1">
      <alignment horizontal="center" vertical="center"/>
    </xf>
    <xf numFmtId="0" fontId="4" fillId="0" borderId="14" xfId="0" applyFont="1" applyBorder="1" applyAlignment="1">
      <alignment vertical="center"/>
    </xf>
    <xf numFmtId="0" fontId="4" fillId="0" borderId="11" xfId="0" applyFont="1" applyBorder="1" applyAlignment="1">
      <alignment vertical="center"/>
    </xf>
    <xf numFmtId="0" fontId="0" fillId="6" borderId="0" xfId="0" applyFill="1" applyBorder="1" applyAlignment="1">
      <alignment horizontal="center" vertical="center"/>
    </xf>
    <xf numFmtId="0" fontId="13" fillId="0" borderId="0" xfId="0" applyFont="1" applyAlignment="1">
      <alignment vertical="center"/>
    </xf>
    <xf numFmtId="0" fontId="4" fillId="0" borderId="5" xfId="0" applyFont="1" applyBorder="1" applyAlignment="1">
      <alignment vertical="center"/>
    </xf>
    <xf numFmtId="0" fontId="4" fillId="0" borderId="4" xfId="0" applyFont="1" applyBorder="1" applyAlignment="1">
      <alignment vertical="center"/>
    </xf>
    <xf numFmtId="0" fontId="2" fillId="0" borderId="84" xfId="0" applyFont="1" applyBorder="1" applyAlignment="1">
      <alignment vertical="center"/>
    </xf>
    <xf numFmtId="0" fontId="0" fillId="0" borderId="0" xfId="0" applyBorder="1"/>
    <xf numFmtId="0" fontId="13" fillId="0" borderId="13" xfId="0" applyFont="1" applyBorder="1" applyAlignment="1">
      <alignment horizontal="center" vertical="center"/>
    </xf>
    <xf numFmtId="0" fontId="13" fillId="0" borderId="55" xfId="0" applyFont="1" applyBorder="1" applyAlignment="1">
      <alignment horizontal="center" vertical="center"/>
    </xf>
    <xf numFmtId="0" fontId="15" fillId="0" borderId="9" xfId="0" applyFont="1" applyBorder="1" applyAlignment="1">
      <alignment vertical="center"/>
    </xf>
    <xf numFmtId="0" fontId="15" fillId="0" borderId="17" xfId="0" applyFont="1" applyBorder="1" applyAlignment="1">
      <alignment vertical="center"/>
    </xf>
    <xf numFmtId="0" fontId="12" fillId="0" borderId="57" xfId="0" applyFont="1" applyBorder="1" applyAlignment="1"/>
    <xf numFmtId="0" fontId="12" fillId="0" borderId="12" xfId="0" applyFont="1" applyBorder="1" applyAlignment="1"/>
    <xf numFmtId="0" fontId="12" fillId="0" borderId="0" xfId="0" applyFont="1" applyBorder="1" applyAlignment="1"/>
    <xf numFmtId="49" fontId="12" fillId="0" borderId="40" xfId="0" applyNumberFormat="1" applyFont="1" applyBorder="1" applyAlignment="1"/>
    <xf numFmtId="0" fontId="12" fillId="0" borderId="27" xfId="0" applyFont="1" applyBorder="1" applyAlignment="1">
      <alignment horizontal="left" vertical="center"/>
    </xf>
    <xf numFmtId="0" fontId="12" fillId="0" borderId="13" xfId="0" applyFont="1" applyBorder="1" applyAlignment="1">
      <alignment horizontal="left"/>
    </xf>
    <xf numFmtId="0" fontId="11" fillId="3" borderId="13" xfId="1" applyFont="1" applyFill="1" applyBorder="1" applyAlignment="1">
      <alignment horizontal="center" vertical="center"/>
    </xf>
    <xf numFmtId="0" fontId="2" fillId="0" borderId="40" xfId="0" applyFont="1" applyBorder="1" applyAlignment="1">
      <alignment horizontal="left" vertical="center"/>
    </xf>
    <xf numFmtId="0" fontId="2" fillId="0" borderId="52" xfId="0" applyFont="1" applyBorder="1" applyAlignment="1">
      <alignment horizontal="left" vertical="center"/>
    </xf>
    <xf numFmtId="178" fontId="7" fillId="0" borderId="78" xfId="0" applyNumberFormat="1" applyFont="1" applyBorder="1" applyAlignment="1">
      <alignment horizontal="center" vertical="center"/>
    </xf>
    <xf numFmtId="178" fontId="7" fillId="0" borderId="53" xfId="0" applyNumberFormat="1" applyFont="1" applyBorder="1" applyAlignment="1">
      <alignment horizontal="center" vertical="center"/>
    </xf>
    <xf numFmtId="0" fontId="2" fillId="0" borderId="13" xfId="0" applyFont="1" applyBorder="1" applyAlignment="1">
      <alignment horizontal="center" vertical="center"/>
    </xf>
    <xf numFmtId="0" fontId="2" fillId="0" borderId="34" xfId="0" applyFont="1" applyBorder="1" applyAlignment="1">
      <alignment horizontal="center" vertical="center"/>
    </xf>
    <xf numFmtId="0" fontId="2" fillId="0" borderId="39" xfId="0" applyFont="1" applyBorder="1" applyAlignment="1">
      <alignment horizontal="center" vertical="center"/>
    </xf>
    <xf numFmtId="0" fontId="2" fillId="0" borderId="17" xfId="0" applyFont="1" applyBorder="1" applyAlignment="1">
      <alignment horizontal="center" vertical="center"/>
    </xf>
    <xf numFmtId="0" fontId="2" fillId="0" borderId="65" xfId="0" applyFont="1" applyBorder="1" applyAlignment="1">
      <alignment horizontal="center" vertical="center"/>
    </xf>
    <xf numFmtId="0" fontId="2" fillId="0" borderId="27" xfId="0" applyFont="1" applyBorder="1" applyAlignment="1">
      <alignment horizontal="right" vertical="center"/>
    </xf>
    <xf numFmtId="0" fontId="2" fillId="0" borderId="61" xfId="0" applyFont="1" applyBorder="1" applyAlignment="1">
      <alignment horizontal="right" vertical="center"/>
    </xf>
    <xf numFmtId="0" fontId="2" fillId="0" borderId="21" xfId="0" applyFont="1" applyBorder="1" applyAlignment="1">
      <alignment horizontal="right" vertical="center"/>
    </xf>
    <xf numFmtId="0" fontId="2" fillId="0" borderId="22" xfId="0" applyFont="1" applyBorder="1" applyAlignment="1">
      <alignment horizontal="right" vertical="center"/>
    </xf>
    <xf numFmtId="0" fontId="8" fillId="0" borderId="9" xfId="0" applyFont="1" applyBorder="1" applyAlignment="1">
      <alignment horizontal="center" vertical="center"/>
    </xf>
    <xf numFmtId="0" fontId="8" fillId="0" borderId="0" xfId="0" applyFont="1" applyBorder="1" applyAlignment="1">
      <alignment horizontal="center" vertical="center"/>
    </xf>
    <xf numFmtId="0" fontId="8" fillId="0" borderId="17" xfId="0" applyFont="1" applyBorder="1" applyAlignment="1">
      <alignment horizontal="center" vertical="center"/>
    </xf>
    <xf numFmtId="0" fontId="8" fillId="0" borderId="18" xfId="0" applyFont="1" applyBorder="1" applyAlignment="1">
      <alignment horizontal="center" vertical="center"/>
    </xf>
    <xf numFmtId="0" fontId="8" fillId="0" borderId="0" xfId="0" applyFont="1" applyBorder="1" applyAlignment="1">
      <alignment horizontal="left" vertical="center"/>
    </xf>
    <xf numFmtId="0" fontId="8" fillId="0" borderId="18" xfId="0" applyFont="1" applyBorder="1" applyAlignment="1">
      <alignment horizontal="left" vertical="center"/>
    </xf>
    <xf numFmtId="0" fontId="2" fillId="0" borderId="41" xfId="0" applyFont="1" applyBorder="1" applyAlignment="1">
      <alignment horizontal="left" vertical="center"/>
    </xf>
    <xf numFmtId="179" fontId="2" fillId="0" borderId="78" xfId="0" applyNumberFormat="1" applyFont="1" applyBorder="1" applyAlignment="1">
      <alignment horizontal="center" vertical="center"/>
    </xf>
    <xf numFmtId="179" fontId="2" fillId="0" borderId="70" xfId="0" applyNumberFormat="1" applyFont="1" applyBorder="1" applyAlignment="1">
      <alignment horizontal="center" vertical="center"/>
    </xf>
    <xf numFmtId="0" fontId="2" fillId="0" borderId="36" xfId="0" applyFont="1" applyBorder="1" applyAlignment="1">
      <alignment horizontal="center" vertical="center"/>
    </xf>
    <xf numFmtId="0" fontId="2" fillId="0" borderId="38" xfId="0" applyFont="1" applyBorder="1" applyAlignment="1">
      <alignment horizontal="center" vertical="center"/>
    </xf>
    <xf numFmtId="0" fontId="2" fillId="0" borderId="31" xfId="0" applyFont="1" applyBorder="1" applyAlignment="1">
      <alignment horizontal="right" vertical="center"/>
    </xf>
    <xf numFmtId="0" fontId="2" fillId="0" borderId="74" xfId="0" applyFont="1" applyBorder="1" applyAlignment="1">
      <alignment horizontal="right" vertical="center"/>
    </xf>
    <xf numFmtId="0" fontId="2" fillId="2" borderId="47" xfId="0" applyFont="1" applyFill="1" applyBorder="1" applyAlignment="1">
      <alignment horizontal="center" vertical="center"/>
    </xf>
    <xf numFmtId="0" fontId="2" fillId="2" borderId="79" xfId="0" applyFont="1" applyFill="1" applyBorder="1" applyAlignment="1">
      <alignment horizontal="center" vertical="center"/>
    </xf>
    <xf numFmtId="0" fontId="2" fillId="0" borderId="57" xfId="0" applyFont="1" applyBorder="1" applyAlignment="1">
      <alignment horizontal="center" vertical="center"/>
    </xf>
    <xf numFmtId="0" fontId="2" fillId="0" borderId="11" xfId="0" applyFont="1" applyBorder="1" applyAlignment="1">
      <alignment horizontal="center" vertical="center"/>
    </xf>
    <xf numFmtId="0" fontId="2" fillId="0" borderId="12" xfId="0" applyFont="1" applyBorder="1" applyAlignment="1">
      <alignment horizontal="center" vertical="center"/>
    </xf>
    <xf numFmtId="0" fontId="2" fillId="0" borderId="1" xfId="0" applyFont="1" applyBorder="1" applyAlignment="1">
      <alignment horizontal="left" vertical="center"/>
    </xf>
    <xf numFmtId="0" fontId="2" fillId="0" borderId="2" xfId="0" applyFont="1" applyBorder="1" applyAlignment="1">
      <alignment horizontal="left" vertical="center"/>
    </xf>
    <xf numFmtId="0" fontId="2" fillId="0" borderId="67" xfId="0" applyFont="1" applyBorder="1" applyAlignment="1">
      <alignment horizontal="left" vertical="center"/>
    </xf>
    <xf numFmtId="0" fontId="2" fillId="0" borderId="9" xfId="0" applyFont="1" applyBorder="1" applyAlignment="1">
      <alignment horizontal="left" vertical="center"/>
    </xf>
    <xf numFmtId="0" fontId="2" fillId="0" borderId="0" xfId="0" applyFont="1" applyBorder="1" applyAlignment="1">
      <alignment horizontal="left" vertical="center"/>
    </xf>
    <xf numFmtId="0" fontId="2" fillId="0" borderId="15" xfId="0" applyFont="1" applyBorder="1" applyAlignment="1">
      <alignment horizontal="left" vertical="center"/>
    </xf>
    <xf numFmtId="0" fontId="2" fillId="0" borderId="87" xfId="0" applyFont="1" applyBorder="1" applyAlignment="1">
      <alignment horizontal="left" vertical="center"/>
    </xf>
    <xf numFmtId="0" fontId="1" fillId="0" borderId="66" xfId="0" applyFont="1" applyBorder="1" applyAlignment="1">
      <alignment horizontal="center" vertical="top"/>
    </xf>
    <xf numFmtId="0" fontId="1" fillId="0" borderId="70" xfId="0" applyFont="1" applyBorder="1" applyAlignment="1">
      <alignment horizontal="center" vertical="top"/>
    </xf>
    <xf numFmtId="0" fontId="2" fillId="0" borderId="9" xfId="0" applyFont="1" applyBorder="1" applyAlignment="1">
      <alignment horizontal="center" vertical="center"/>
    </xf>
    <xf numFmtId="0" fontId="2" fillId="0" borderId="0" xfId="0" applyFont="1" applyBorder="1" applyAlignment="1">
      <alignment horizontal="center" vertical="center"/>
    </xf>
    <xf numFmtId="0" fontId="2" fillId="0" borderId="15" xfId="0" applyFont="1" applyBorder="1" applyAlignment="1">
      <alignment horizontal="center" vertical="center"/>
    </xf>
    <xf numFmtId="0" fontId="2" fillId="0" borderId="30" xfId="0" applyFont="1" applyBorder="1" applyAlignment="1">
      <alignment horizontal="center" vertical="center"/>
    </xf>
    <xf numFmtId="0" fontId="2" fillId="0" borderId="74" xfId="0" applyFont="1" applyBorder="1" applyAlignment="1">
      <alignment horizontal="center" vertical="center"/>
    </xf>
    <xf numFmtId="0" fontId="2" fillId="2" borderId="46" xfId="0" applyFont="1" applyFill="1" applyBorder="1" applyAlignment="1">
      <alignment horizontal="center" vertical="center"/>
    </xf>
    <xf numFmtId="0" fontId="2" fillId="0" borderId="85" xfId="0" applyFont="1" applyBorder="1" applyAlignment="1">
      <alignment horizontal="center" vertical="center"/>
    </xf>
    <xf numFmtId="0" fontId="2" fillId="0" borderId="86" xfId="0" applyFont="1" applyBorder="1" applyAlignment="1">
      <alignment horizontal="center" vertical="center"/>
    </xf>
    <xf numFmtId="0" fontId="2" fillId="0" borderId="34" xfId="0" applyFont="1" applyBorder="1" applyAlignment="1">
      <alignment horizontal="left" vertical="center"/>
    </xf>
    <xf numFmtId="0" fontId="2" fillId="0" borderId="39" xfId="0" applyFont="1" applyBorder="1" applyAlignment="1">
      <alignment horizontal="left" vertical="center"/>
    </xf>
    <xf numFmtId="0" fontId="2" fillId="0" borderId="10" xfId="0" applyFont="1" applyBorder="1" applyAlignment="1">
      <alignment horizontal="left" vertical="center"/>
    </xf>
    <xf numFmtId="0" fontId="6" fillId="0" borderId="34" xfId="0" applyFont="1" applyBorder="1" applyAlignment="1">
      <alignment horizontal="left" vertical="center"/>
    </xf>
    <xf numFmtId="0" fontId="6" fillId="0" borderId="26" xfId="0" applyFont="1" applyBorder="1" applyAlignment="1">
      <alignment horizontal="left" vertical="center"/>
    </xf>
    <xf numFmtId="0" fontId="13" fillId="0" borderId="9" xfId="0" applyFont="1" applyBorder="1" applyAlignment="1">
      <alignment horizontal="left" vertical="center"/>
    </xf>
    <xf numFmtId="0" fontId="13" fillId="0" borderId="0" xfId="0" applyFont="1" applyBorder="1" applyAlignment="1">
      <alignment horizontal="left" vertical="center"/>
    </xf>
    <xf numFmtId="0" fontId="13" fillId="0" borderId="10" xfId="0" applyFont="1" applyBorder="1" applyAlignment="1">
      <alignment horizontal="left" vertical="center"/>
    </xf>
    <xf numFmtId="0" fontId="13" fillId="0" borderId="17" xfId="0" applyFont="1" applyBorder="1" applyAlignment="1">
      <alignment horizontal="left" vertical="center"/>
    </xf>
    <xf numFmtId="0" fontId="13" fillId="0" borderId="18" xfId="0" applyFont="1" applyBorder="1" applyAlignment="1">
      <alignment horizontal="left" vertical="center"/>
    </xf>
    <xf numFmtId="0" fontId="13" fillId="0" borderId="65" xfId="0" applyFont="1" applyBorder="1" applyAlignment="1">
      <alignment horizontal="left" vertical="center"/>
    </xf>
    <xf numFmtId="0" fontId="2" fillId="0" borderId="3" xfId="0" applyFont="1" applyBorder="1" applyAlignment="1">
      <alignment horizontal="left" vertical="center"/>
    </xf>
    <xf numFmtId="0" fontId="2" fillId="0" borderId="14" xfId="0" applyFont="1" applyBorder="1" applyAlignment="1">
      <alignment horizontal="left" vertical="center"/>
    </xf>
    <xf numFmtId="0" fontId="2" fillId="0" borderId="48" xfId="0" applyFont="1" applyBorder="1" applyAlignment="1">
      <alignment horizontal="left" vertical="center"/>
    </xf>
    <xf numFmtId="0" fontId="2" fillId="2" borderId="68" xfId="0" applyFont="1" applyFill="1" applyBorder="1" applyAlignment="1">
      <alignment horizontal="center" vertical="center"/>
    </xf>
    <xf numFmtId="0" fontId="2" fillId="2" borderId="88" xfId="0" applyFont="1" applyFill="1" applyBorder="1" applyAlignment="1">
      <alignment horizontal="center" vertical="center"/>
    </xf>
    <xf numFmtId="0" fontId="2" fillId="0" borderId="31" xfId="0" applyFont="1" applyBorder="1" applyAlignment="1">
      <alignment horizontal="left" vertical="center"/>
    </xf>
    <xf numFmtId="0" fontId="2" fillId="0" borderId="43" xfId="0" applyFont="1" applyBorder="1" applyAlignment="1">
      <alignment horizontal="left" vertical="center"/>
    </xf>
    <xf numFmtId="0" fontId="2" fillId="0" borderId="74" xfId="0" applyFont="1" applyBorder="1" applyAlignment="1">
      <alignment horizontal="left" vertical="center"/>
    </xf>
    <xf numFmtId="0" fontId="2" fillId="8" borderId="67" xfId="0" applyFont="1" applyFill="1" applyBorder="1" applyAlignment="1">
      <alignment horizontal="center" vertical="center"/>
    </xf>
    <xf numFmtId="0" fontId="2" fillId="8" borderId="15" xfId="0" applyFont="1" applyFill="1" applyBorder="1" applyAlignment="1">
      <alignment horizontal="center" vertical="center"/>
    </xf>
    <xf numFmtId="0" fontId="6" fillId="0" borderId="9" xfId="0" applyFont="1" applyBorder="1" applyAlignment="1">
      <alignment horizontal="left" vertical="center"/>
    </xf>
    <xf numFmtId="0" fontId="6" fillId="0" borderId="0" xfId="0" applyFont="1" applyBorder="1" applyAlignment="1">
      <alignment horizontal="left" vertical="center"/>
    </xf>
    <xf numFmtId="0" fontId="2" fillId="0" borderId="27" xfId="0" applyFont="1" applyBorder="1" applyAlignment="1">
      <alignment horizontal="left" vertical="center"/>
    </xf>
    <xf numFmtId="0" fontId="2" fillId="0" borderId="61" xfId="0" applyFont="1" applyBorder="1" applyAlignment="1">
      <alignment horizontal="left" vertical="center"/>
    </xf>
    <xf numFmtId="0" fontId="2" fillId="0" borderId="14" xfId="0" applyFont="1" applyBorder="1" applyAlignment="1">
      <alignment horizontal="center" vertical="center" shrinkToFit="1"/>
    </xf>
    <xf numFmtId="0" fontId="2" fillId="0" borderId="0" xfId="0" applyFont="1" applyBorder="1" applyAlignment="1">
      <alignment horizontal="center" vertical="center" shrinkToFit="1"/>
    </xf>
    <xf numFmtId="0" fontId="2" fillId="0" borderId="48" xfId="0" applyFont="1" applyBorder="1" applyAlignment="1">
      <alignment horizontal="center" vertical="center" shrinkToFit="1"/>
    </xf>
    <xf numFmtId="0" fontId="2" fillId="0" borderId="63" xfId="0" applyFont="1" applyBorder="1" applyAlignment="1">
      <alignment horizontal="center" vertical="center"/>
    </xf>
    <xf numFmtId="0" fontId="2" fillId="0" borderId="60" xfId="0" applyFont="1" applyBorder="1" applyAlignment="1">
      <alignment horizontal="center" vertical="center"/>
    </xf>
    <xf numFmtId="0" fontId="2" fillId="0" borderId="34" xfId="0" applyFont="1" applyBorder="1" applyAlignment="1">
      <alignment horizontal="center" vertical="center" shrinkToFit="1"/>
    </xf>
    <xf numFmtId="0" fontId="2" fillId="0" borderId="26" xfId="0" applyFont="1" applyBorder="1" applyAlignment="1">
      <alignment horizontal="center" vertical="center" shrinkToFit="1"/>
    </xf>
    <xf numFmtId="0" fontId="2" fillId="0" borderId="39" xfId="0" applyFont="1" applyBorder="1" applyAlignment="1">
      <alignment horizontal="center" vertical="center" shrinkToFit="1"/>
    </xf>
    <xf numFmtId="0" fontId="2" fillId="0" borderId="26" xfId="0" applyFont="1" applyBorder="1" applyAlignment="1">
      <alignment horizontal="left" vertical="center"/>
    </xf>
    <xf numFmtId="0" fontId="2" fillId="8" borderId="27" xfId="0" applyFont="1" applyFill="1" applyBorder="1" applyAlignment="1">
      <alignment horizontal="center" vertical="center"/>
    </xf>
    <xf numFmtId="0" fontId="2" fillId="8" borderId="31" xfId="0" applyFont="1" applyFill="1" applyBorder="1" applyAlignment="1">
      <alignment horizontal="center" vertical="center"/>
    </xf>
    <xf numFmtId="0" fontId="2" fillId="0" borderId="84" xfId="0" applyFont="1" applyBorder="1" applyAlignment="1">
      <alignment horizontal="left" vertical="center"/>
    </xf>
    <xf numFmtId="0" fontId="13" fillId="0" borderId="13" xfId="0" applyFont="1" applyBorder="1" applyAlignment="1">
      <alignment horizontal="left" vertical="center"/>
    </xf>
    <xf numFmtId="0" fontId="13" fillId="0" borderId="57" xfId="0" applyFont="1" applyBorder="1" applyAlignment="1">
      <alignment horizontal="left" vertical="center"/>
    </xf>
    <xf numFmtId="0" fontId="2" fillId="0" borderId="13" xfId="0" applyFont="1" applyBorder="1" applyAlignment="1">
      <alignment horizontal="left" vertical="center"/>
    </xf>
    <xf numFmtId="0" fontId="2" fillId="0" borderId="57" xfId="0" applyFont="1" applyBorder="1" applyAlignment="1">
      <alignment horizontal="left" vertical="center"/>
    </xf>
    <xf numFmtId="0" fontId="13" fillId="0" borderId="21" xfId="0" applyFont="1" applyBorder="1" applyAlignment="1">
      <alignment horizontal="left" vertical="center"/>
    </xf>
    <xf numFmtId="0" fontId="2" fillId="0" borderId="24" xfId="0" applyFont="1" applyBorder="1" applyAlignment="1">
      <alignment horizontal="left" vertical="center"/>
    </xf>
    <xf numFmtId="0" fontId="2" fillId="0" borderId="5" xfId="0" applyFont="1" applyBorder="1" applyAlignment="1">
      <alignment horizontal="left" vertical="center"/>
    </xf>
    <xf numFmtId="0" fontId="2" fillId="0" borderId="42" xfId="0" applyFont="1" applyBorder="1" applyAlignment="1">
      <alignment horizontal="left" vertical="center"/>
    </xf>
    <xf numFmtId="0" fontId="2" fillId="0" borderId="84" xfId="0" applyFont="1" applyBorder="1" applyAlignment="1">
      <alignment horizontal="center" vertical="center"/>
    </xf>
    <xf numFmtId="0" fontId="2" fillId="0" borderId="3" xfId="0" applyFont="1" applyBorder="1" applyAlignment="1">
      <alignment horizontal="center" vertical="center"/>
    </xf>
    <xf numFmtId="0" fontId="2" fillId="0" borderId="14" xfId="0" applyFont="1" applyBorder="1" applyAlignment="1">
      <alignment horizontal="center" vertical="center"/>
    </xf>
    <xf numFmtId="0" fontId="2" fillId="0" borderId="31" xfId="0" applyFont="1" applyBorder="1" applyAlignment="1">
      <alignment horizontal="center" vertical="center"/>
    </xf>
    <xf numFmtId="0" fontId="2" fillId="0" borderId="43" xfId="0" applyFont="1" applyBorder="1" applyAlignment="1">
      <alignment horizontal="center" vertical="center"/>
    </xf>
    <xf numFmtId="0" fontId="2" fillId="0" borderId="27" xfId="0" applyFont="1" applyBorder="1" applyAlignment="1">
      <alignment horizontal="left" vertical="center" shrinkToFit="1"/>
    </xf>
    <xf numFmtId="0" fontId="2" fillId="0" borderId="61" xfId="0" applyFont="1" applyBorder="1" applyAlignment="1">
      <alignment horizontal="left" vertical="center" shrinkToFit="1"/>
    </xf>
    <xf numFmtId="0" fontId="2" fillId="0" borderId="40" xfId="0" applyFont="1" applyBorder="1" applyAlignment="1">
      <alignment horizontal="center" vertical="center" textRotation="255"/>
    </xf>
    <xf numFmtId="0" fontId="2" fillId="0" borderId="64" xfId="0" applyFont="1" applyBorder="1" applyAlignment="1">
      <alignment horizontal="center" vertical="center" textRotation="255"/>
    </xf>
    <xf numFmtId="0" fontId="2" fillId="0" borderId="41" xfId="0" applyFont="1" applyBorder="1" applyAlignment="1">
      <alignment horizontal="center" vertical="center" textRotation="255"/>
    </xf>
    <xf numFmtId="0" fontId="2" fillId="0" borderId="48" xfId="0" applyFont="1" applyBorder="1" applyAlignment="1">
      <alignment horizontal="center" vertical="center"/>
    </xf>
    <xf numFmtId="0" fontId="2" fillId="0" borderId="27"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27" xfId="0" applyFont="1" applyBorder="1" applyAlignment="1">
      <alignment horizontal="center" vertical="center"/>
    </xf>
    <xf numFmtId="0" fontId="0" fillId="0" borderId="42" xfId="0" applyBorder="1"/>
    <xf numFmtId="0" fontId="7" fillId="0" borderId="0" xfId="0" applyFont="1" applyAlignment="1">
      <alignment horizontal="right" vertical="center"/>
    </xf>
    <xf numFmtId="0" fontId="4" fillId="0" borderId="72" xfId="0" applyFont="1" applyBorder="1" applyAlignment="1">
      <alignment horizontal="right" vertical="center"/>
    </xf>
    <xf numFmtId="0" fontId="4" fillId="0" borderId="19" xfId="0" applyFont="1" applyBorder="1" applyAlignment="1">
      <alignment horizontal="right" vertical="center"/>
    </xf>
    <xf numFmtId="0" fontId="4" fillId="0" borderId="71" xfId="0" applyFont="1" applyBorder="1" applyAlignment="1">
      <alignment horizontal="right" vertical="center"/>
    </xf>
    <xf numFmtId="0" fontId="2" fillId="0" borderId="89" xfId="0" applyFont="1" applyBorder="1" applyAlignment="1">
      <alignment horizontal="center" vertical="center"/>
    </xf>
    <xf numFmtId="0" fontId="2" fillId="0" borderId="5" xfId="0" applyFont="1" applyBorder="1" applyAlignment="1">
      <alignment horizontal="center" vertical="center"/>
    </xf>
    <xf numFmtId="0" fontId="2" fillId="0" borderId="24" xfId="0" applyFont="1" applyBorder="1" applyAlignment="1">
      <alignment horizontal="center" vertical="center"/>
    </xf>
    <xf numFmtId="0" fontId="2" fillId="0" borderId="4" xfId="0" applyFont="1" applyBorder="1" applyAlignment="1">
      <alignment horizontal="center" vertical="center"/>
    </xf>
    <xf numFmtId="0" fontId="2" fillId="0" borderId="26" xfId="0" applyFont="1" applyBorder="1" applyAlignment="1">
      <alignment horizontal="center" vertical="center"/>
    </xf>
    <xf numFmtId="0" fontId="2" fillId="0" borderId="10" xfId="0" applyFont="1" applyBorder="1" applyAlignment="1">
      <alignment horizontal="center" vertical="center"/>
    </xf>
    <xf numFmtId="0" fontId="2" fillId="0" borderId="36" xfId="0" applyFont="1" applyBorder="1" applyAlignment="1">
      <alignment horizontal="right"/>
    </xf>
    <xf numFmtId="0" fontId="2" fillId="0" borderId="30" xfId="0" applyFont="1" applyBorder="1" applyAlignment="1">
      <alignment horizontal="right"/>
    </xf>
    <xf numFmtId="0" fontId="2" fillId="0" borderId="74" xfId="0" applyFont="1" applyBorder="1" applyAlignment="1">
      <alignment horizontal="right"/>
    </xf>
    <xf numFmtId="0" fontId="2" fillId="0" borderId="1" xfId="0" applyFont="1" applyBorder="1" applyAlignment="1">
      <alignment horizontal="left" vertical="top"/>
    </xf>
    <xf numFmtId="0" fontId="2" fillId="0" borderId="2" xfId="0" applyFont="1" applyBorder="1" applyAlignment="1">
      <alignment horizontal="left" vertical="top"/>
    </xf>
    <xf numFmtId="0" fontId="2" fillId="6" borderId="0" xfId="0" applyFont="1" applyFill="1" applyBorder="1" applyAlignment="1">
      <alignment horizontal="left" vertical="center"/>
    </xf>
    <xf numFmtId="0" fontId="2" fillId="0" borderId="36" xfId="0" applyFont="1" applyBorder="1" applyAlignment="1">
      <alignment horizontal="left" vertical="center"/>
    </xf>
    <xf numFmtId="0" fontId="2" fillId="0" borderId="38" xfId="0" applyFont="1" applyBorder="1" applyAlignment="1">
      <alignment horizontal="left" vertical="center"/>
    </xf>
    <xf numFmtId="0" fontId="2" fillId="0" borderId="30" xfId="0" applyFont="1" applyBorder="1" applyAlignment="1">
      <alignment horizontal="left" vertical="center"/>
    </xf>
    <xf numFmtId="0" fontId="7" fillId="0" borderId="34" xfId="0" applyFont="1" applyBorder="1" applyAlignment="1">
      <alignment horizontal="center" vertical="center"/>
    </xf>
    <xf numFmtId="0" fontId="7" fillId="0" borderId="36" xfId="0" applyFont="1" applyBorder="1" applyAlignment="1">
      <alignment horizontal="center" vertical="center"/>
    </xf>
    <xf numFmtId="0" fontId="4" fillId="0" borderId="26" xfId="0" applyFont="1" applyBorder="1" applyAlignment="1">
      <alignment horizontal="right" vertical="center"/>
    </xf>
    <xf numFmtId="0" fontId="4" fillId="0" borderId="61" xfId="0" applyFont="1" applyBorder="1" applyAlignment="1">
      <alignment horizontal="right" vertical="center"/>
    </xf>
    <xf numFmtId="0" fontId="4" fillId="0" borderId="30" xfId="0" applyFont="1" applyBorder="1" applyAlignment="1">
      <alignment horizontal="right" vertical="center"/>
    </xf>
    <xf numFmtId="0" fontId="4" fillId="0" borderId="74" xfId="0" applyFont="1" applyBorder="1" applyAlignment="1">
      <alignment horizontal="right" vertical="center"/>
    </xf>
    <xf numFmtId="0" fontId="2" fillId="0" borderId="40" xfId="0" applyFont="1" applyBorder="1" applyAlignment="1">
      <alignment horizontal="center" vertical="center"/>
    </xf>
    <xf numFmtId="0" fontId="2" fillId="0" borderId="41" xfId="0" applyFont="1" applyBorder="1" applyAlignment="1">
      <alignment horizontal="center" vertical="center"/>
    </xf>
    <xf numFmtId="0" fontId="2" fillId="0" borderId="87" xfId="0" applyFont="1" applyBorder="1" applyAlignment="1">
      <alignment horizontal="center" vertical="center"/>
    </xf>
    <xf numFmtId="0" fontId="2" fillId="0" borderId="64" xfId="0" applyFont="1" applyBorder="1" applyAlignment="1">
      <alignment horizontal="center" vertical="center"/>
    </xf>
    <xf numFmtId="0" fontId="1" fillId="0" borderId="84" xfId="0" applyFont="1" applyBorder="1" applyAlignment="1">
      <alignment horizontal="center" vertical="center"/>
    </xf>
    <xf numFmtId="0" fontId="1" fillId="0" borderId="67" xfId="0" applyFont="1" applyBorder="1" applyAlignment="1">
      <alignment horizontal="center" vertical="center"/>
    </xf>
    <xf numFmtId="0" fontId="1" fillId="0" borderId="14" xfId="0" applyFont="1" applyBorder="1" applyAlignment="1">
      <alignment horizontal="center" vertical="center"/>
    </xf>
    <xf numFmtId="0" fontId="1" fillId="0" borderId="15" xfId="0" applyFont="1" applyBorder="1" applyAlignment="1">
      <alignment horizontal="center" vertical="center"/>
    </xf>
    <xf numFmtId="0" fontId="1" fillId="0" borderId="31" xfId="0" applyFont="1" applyBorder="1" applyAlignment="1">
      <alignment horizontal="center" vertical="center"/>
    </xf>
    <xf numFmtId="0" fontId="1" fillId="0" borderId="74" xfId="0" applyFont="1" applyBorder="1" applyAlignment="1">
      <alignment horizontal="center" vertical="center"/>
    </xf>
    <xf numFmtId="0" fontId="15" fillId="0" borderId="0" xfId="0" applyFont="1" applyBorder="1" applyAlignment="1">
      <alignment horizontal="left" vertical="center"/>
    </xf>
    <xf numFmtId="0" fontId="15" fillId="0" borderId="10" xfId="0" applyFont="1" applyBorder="1" applyAlignment="1">
      <alignment horizontal="left" vertical="center"/>
    </xf>
    <xf numFmtId="0" fontId="15" fillId="0" borderId="18" xfId="0" applyFont="1" applyBorder="1" applyAlignment="1">
      <alignment horizontal="left" vertical="center"/>
    </xf>
    <xf numFmtId="0" fontId="15" fillId="0" borderId="65" xfId="0" applyFont="1" applyBorder="1" applyAlignment="1">
      <alignment horizontal="left" vertical="center"/>
    </xf>
    <xf numFmtId="0" fontId="4" fillId="0" borderId="11" xfId="0" applyFont="1" applyBorder="1" applyAlignment="1">
      <alignment horizontal="left" vertical="center"/>
    </xf>
    <xf numFmtId="0" fontId="4" fillId="0" borderId="12" xfId="0" applyFont="1" applyBorder="1" applyAlignment="1">
      <alignment horizontal="left" vertical="center"/>
    </xf>
    <xf numFmtId="0" fontId="8" fillId="0" borderId="9" xfId="0" applyFont="1" applyBorder="1" applyAlignment="1">
      <alignment horizontal="center"/>
    </xf>
    <xf numFmtId="0" fontId="8" fillId="0" borderId="0" xfId="0" applyFont="1" applyBorder="1" applyAlignment="1">
      <alignment horizontal="center"/>
    </xf>
    <xf numFmtId="0" fontId="8" fillId="0" borderId="10" xfId="0" applyFont="1" applyBorder="1" applyAlignment="1">
      <alignment horizontal="center"/>
    </xf>
    <xf numFmtId="0" fontId="13" fillId="0" borderId="17" xfId="0" applyFont="1" applyBorder="1" applyAlignment="1">
      <alignment horizontal="center" vertical="center"/>
    </xf>
    <xf numFmtId="0" fontId="13" fillId="0" borderId="18" xfId="0" applyFont="1" applyBorder="1" applyAlignment="1">
      <alignment horizontal="center" vertical="center"/>
    </xf>
    <xf numFmtId="0" fontId="13" fillId="0" borderId="65" xfId="0" applyFont="1" applyBorder="1" applyAlignment="1">
      <alignment horizontal="center" vertical="center"/>
    </xf>
    <xf numFmtId="0" fontId="13" fillId="0" borderId="72" xfId="0" applyFont="1" applyBorder="1" applyAlignment="1">
      <alignment horizontal="center" vertical="center"/>
    </xf>
    <xf numFmtId="0" fontId="13" fillId="0" borderId="19" xfId="0" applyFont="1" applyBorder="1" applyAlignment="1">
      <alignment horizontal="center" vertical="center"/>
    </xf>
    <xf numFmtId="0" fontId="13" fillId="0" borderId="20" xfId="0" applyFont="1" applyBorder="1" applyAlignment="1">
      <alignment horizontal="center" vertical="center"/>
    </xf>
    <xf numFmtId="0" fontId="13" fillId="0" borderId="57" xfId="0" applyFont="1" applyBorder="1" applyAlignment="1">
      <alignment horizontal="center" vertical="center"/>
    </xf>
    <xf numFmtId="0" fontId="13" fillId="0" borderId="11" xfId="0" applyFont="1" applyBorder="1" applyAlignment="1">
      <alignment horizontal="center" vertical="center"/>
    </xf>
    <xf numFmtId="0" fontId="13" fillId="0" borderId="12" xfId="0" applyFont="1" applyBorder="1" applyAlignment="1">
      <alignment horizontal="center" vertical="center"/>
    </xf>
  </cellXfs>
  <cellStyles count="3">
    <cellStyle name="標準" xfId="0" builtinId="0"/>
    <cellStyle name="標準_Sheet1" xfId="1"/>
    <cellStyle name="良い" xfId="2" builtinId="26"/>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codeName="Sheet1"/>
  <dimension ref="A1:X117"/>
  <sheetViews>
    <sheetView tabSelected="1" zoomScaleNormal="100" workbookViewId="0">
      <pane xSplit="5" topLeftCell="F1" activePane="topRight" state="frozen"/>
      <selection pane="topRight" activeCell="A7" sqref="A7"/>
    </sheetView>
  </sheetViews>
  <sheetFormatPr defaultRowHeight="11.25"/>
  <cols>
    <col min="1" max="1" width="12.875" style="150" bestFit="1" customWidth="1"/>
    <col min="2" max="2" width="8.25" style="150" bestFit="1" customWidth="1"/>
    <col min="3" max="3" width="9.625" style="150" bestFit="1" customWidth="1"/>
    <col min="4" max="4" width="5.375" style="150" bestFit="1" customWidth="1"/>
    <col min="5" max="6" width="14.125" style="150" customWidth="1"/>
    <col min="7" max="7" width="6.375" style="142" bestFit="1" customWidth="1"/>
    <col min="8" max="8" width="10.375" style="142" bestFit="1" customWidth="1"/>
    <col min="9" max="9" width="12.25" style="150" bestFit="1" customWidth="1"/>
    <col min="10" max="10" width="14" style="150" bestFit="1" customWidth="1"/>
    <col min="11" max="11" width="14.375" style="150" bestFit="1" customWidth="1"/>
    <col min="12" max="12" width="16.125" style="150" bestFit="1" customWidth="1"/>
    <col min="13" max="13" width="25.375" style="150" bestFit="1" customWidth="1"/>
    <col min="14" max="14" width="17.75" style="142" bestFit="1" customWidth="1"/>
    <col min="15" max="15" width="9.125" style="142" customWidth="1"/>
    <col min="16" max="16" width="9" style="150"/>
    <col min="17" max="17" width="33.125" style="150" customWidth="1"/>
    <col min="18" max="16384" width="9" style="150"/>
  </cols>
  <sheetData>
    <row r="1" spans="1:24">
      <c r="A1" s="75" t="s">
        <v>769</v>
      </c>
      <c r="B1" s="75" t="s">
        <v>341</v>
      </c>
      <c r="C1" s="250" t="s">
        <v>342</v>
      </c>
      <c r="D1" s="250"/>
      <c r="E1" s="75" t="s">
        <v>770</v>
      </c>
      <c r="F1" s="75" t="s">
        <v>166</v>
      </c>
      <c r="G1" s="75" t="s">
        <v>204</v>
      </c>
      <c r="H1" s="75" t="s">
        <v>291</v>
      </c>
      <c r="I1" s="75" t="s">
        <v>167</v>
      </c>
      <c r="J1" s="75" t="s">
        <v>292</v>
      </c>
      <c r="K1" s="75" t="s">
        <v>168</v>
      </c>
      <c r="L1" s="92" t="s">
        <v>381</v>
      </c>
      <c r="M1" s="75" t="s">
        <v>382</v>
      </c>
      <c r="N1" s="75" t="s">
        <v>383</v>
      </c>
      <c r="O1" s="75" t="s">
        <v>601</v>
      </c>
      <c r="P1" s="75" t="s">
        <v>599</v>
      </c>
      <c r="Q1" s="75" t="s">
        <v>600</v>
      </c>
      <c r="R1" s="150" t="s">
        <v>762</v>
      </c>
      <c r="S1" s="150" t="s">
        <v>763</v>
      </c>
      <c r="T1" s="150" t="s">
        <v>764</v>
      </c>
      <c r="U1" s="150" t="s">
        <v>765</v>
      </c>
      <c r="V1" s="150" t="s">
        <v>766</v>
      </c>
      <c r="W1" s="150" t="s">
        <v>767</v>
      </c>
      <c r="X1" s="150" t="s">
        <v>768</v>
      </c>
    </row>
    <row r="2" spans="1:24" ht="13.5" customHeight="1">
      <c r="A2" s="150" t="s">
        <v>825</v>
      </c>
      <c r="B2" s="143">
        <v>247</v>
      </c>
      <c r="C2" s="144" t="s">
        <v>184</v>
      </c>
      <c r="D2" s="145">
        <v>247</v>
      </c>
      <c r="E2" s="145" t="s">
        <v>320</v>
      </c>
      <c r="F2" s="77" t="s">
        <v>179</v>
      </c>
      <c r="G2" s="80" t="s">
        <v>209</v>
      </c>
      <c r="H2" s="80" t="s">
        <v>223</v>
      </c>
      <c r="I2" s="79" t="s">
        <v>185</v>
      </c>
      <c r="J2" s="79" t="s">
        <v>224</v>
      </c>
      <c r="K2" s="77" t="s">
        <v>186</v>
      </c>
      <c r="L2" s="129" t="s">
        <v>162</v>
      </c>
      <c r="M2" s="130" t="s">
        <v>163</v>
      </c>
      <c r="N2" s="76" t="s">
        <v>420</v>
      </c>
      <c r="O2" s="76" t="s">
        <v>602</v>
      </c>
      <c r="P2" s="156" t="s">
        <v>603</v>
      </c>
      <c r="Q2" s="157"/>
    </row>
    <row r="3" spans="1:24" ht="13.5" customHeight="1">
      <c r="A3" s="150" t="s">
        <v>826</v>
      </c>
      <c r="B3" s="143">
        <v>2852</v>
      </c>
      <c r="C3" s="144" t="s">
        <v>750</v>
      </c>
      <c r="D3" s="145">
        <v>2852</v>
      </c>
      <c r="E3" s="104" t="str">
        <f>C3&amp;D3</f>
        <v>横浜100き2852</v>
      </c>
      <c r="F3" s="77" t="s">
        <v>176</v>
      </c>
      <c r="G3" s="77" t="s">
        <v>210</v>
      </c>
      <c r="H3" s="77" t="s">
        <v>229</v>
      </c>
      <c r="I3" s="76" t="s">
        <v>187</v>
      </c>
      <c r="J3" s="76" t="s">
        <v>230</v>
      </c>
      <c r="K3" s="89" t="s">
        <v>188</v>
      </c>
      <c r="L3" s="131" t="s">
        <v>162</v>
      </c>
      <c r="M3" s="130" t="s">
        <v>163</v>
      </c>
      <c r="N3" s="76" t="s">
        <v>420</v>
      </c>
      <c r="O3" s="76" t="s">
        <v>602</v>
      </c>
      <c r="P3" s="156" t="s">
        <v>603</v>
      </c>
      <c r="Q3" s="157"/>
    </row>
    <row r="4" spans="1:24" ht="13.5" customHeight="1">
      <c r="A4" s="150" t="s">
        <v>827</v>
      </c>
      <c r="B4" s="143">
        <v>575</v>
      </c>
      <c r="C4" s="144" t="s">
        <v>184</v>
      </c>
      <c r="D4" s="145">
        <v>575</v>
      </c>
      <c r="E4" s="145" t="s">
        <v>322</v>
      </c>
      <c r="F4" s="77" t="s">
        <v>179</v>
      </c>
      <c r="G4" s="77" t="s">
        <v>209</v>
      </c>
      <c r="H4" s="77" t="s">
        <v>220</v>
      </c>
      <c r="I4" s="76" t="s">
        <v>189</v>
      </c>
      <c r="J4" s="76" t="s">
        <v>221</v>
      </c>
      <c r="K4" s="89" t="s">
        <v>190</v>
      </c>
      <c r="L4" s="131" t="s">
        <v>162</v>
      </c>
      <c r="M4" s="130" t="s">
        <v>163</v>
      </c>
      <c r="N4" s="76" t="s">
        <v>420</v>
      </c>
      <c r="O4" s="76" t="s">
        <v>602</v>
      </c>
      <c r="P4" s="156" t="s">
        <v>603</v>
      </c>
      <c r="Q4" s="157"/>
    </row>
    <row r="5" spans="1:24" ht="13.5" customHeight="1">
      <c r="A5" s="150" t="s">
        <v>828</v>
      </c>
      <c r="B5" s="143">
        <v>576</v>
      </c>
      <c r="C5" s="144" t="s">
        <v>184</v>
      </c>
      <c r="D5" s="145">
        <v>576</v>
      </c>
      <c r="E5" s="145" t="s">
        <v>323</v>
      </c>
      <c r="F5" s="77" t="s">
        <v>176</v>
      </c>
      <c r="G5" s="77" t="s">
        <v>210</v>
      </c>
      <c r="H5" s="77" t="s">
        <v>220</v>
      </c>
      <c r="I5" s="76" t="s">
        <v>191</v>
      </c>
      <c r="J5" s="76" t="s">
        <v>222</v>
      </c>
      <c r="K5" s="89" t="s">
        <v>190</v>
      </c>
      <c r="L5" s="131" t="s">
        <v>162</v>
      </c>
      <c r="M5" s="130" t="s">
        <v>163</v>
      </c>
      <c r="N5" s="76" t="s">
        <v>420</v>
      </c>
      <c r="O5" s="76" t="s">
        <v>602</v>
      </c>
      <c r="P5" s="156" t="s">
        <v>603</v>
      </c>
      <c r="Q5" s="157"/>
    </row>
    <row r="6" spans="1:24" ht="13.5" customHeight="1">
      <c r="A6" s="150" t="s">
        <v>829</v>
      </c>
      <c r="B6" s="143">
        <v>579</v>
      </c>
      <c r="C6" s="144" t="s">
        <v>184</v>
      </c>
      <c r="D6" s="145">
        <v>579</v>
      </c>
      <c r="E6" s="145" t="s">
        <v>324</v>
      </c>
      <c r="F6" s="77" t="s">
        <v>179</v>
      </c>
      <c r="G6" s="77" t="s">
        <v>209</v>
      </c>
      <c r="H6" s="77" t="s">
        <v>220</v>
      </c>
      <c r="I6" s="76" t="s">
        <v>189</v>
      </c>
      <c r="J6" s="76" t="s">
        <v>225</v>
      </c>
      <c r="K6" s="89" t="s">
        <v>190</v>
      </c>
      <c r="L6" s="131" t="s">
        <v>162</v>
      </c>
      <c r="M6" s="130" t="s">
        <v>163</v>
      </c>
      <c r="N6" s="76" t="s">
        <v>420</v>
      </c>
      <c r="O6" s="76" t="s">
        <v>602</v>
      </c>
      <c r="P6" s="156" t="s">
        <v>603</v>
      </c>
      <c r="Q6" s="157"/>
    </row>
    <row r="7" spans="1:24" ht="13.5" customHeight="1">
      <c r="A7" s="150" t="s">
        <v>325</v>
      </c>
      <c r="B7" s="143">
        <v>581</v>
      </c>
      <c r="C7" s="144" t="s">
        <v>184</v>
      </c>
      <c r="D7" s="145">
        <v>581</v>
      </c>
      <c r="E7" s="145" t="s">
        <v>325</v>
      </c>
      <c r="F7" s="77" t="s">
        <v>179</v>
      </c>
      <c r="G7" s="77" t="s">
        <v>209</v>
      </c>
      <c r="H7" s="77" t="s">
        <v>223</v>
      </c>
      <c r="I7" s="76" t="s">
        <v>189</v>
      </c>
      <c r="J7" s="79" t="s">
        <v>824</v>
      </c>
      <c r="K7" s="89" t="s">
        <v>192</v>
      </c>
      <c r="L7" s="131" t="s">
        <v>162</v>
      </c>
      <c r="M7" s="130" t="s">
        <v>163</v>
      </c>
      <c r="N7" s="76" t="s">
        <v>420</v>
      </c>
      <c r="O7" s="76" t="s">
        <v>602</v>
      </c>
      <c r="P7" s="156" t="s">
        <v>603</v>
      </c>
      <c r="Q7" s="157"/>
    </row>
    <row r="8" spans="1:24" ht="13.5" customHeight="1">
      <c r="B8" s="143">
        <v>4096</v>
      </c>
      <c r="C8" s="144" t="s">
        <v>180</v>
      </c>
      <c r="D8" s="145">
        <v>4096</v>
      </c>
      <c r="E8" s="145" t="s">
        <v>326</v>
      </c>
      <c r="F8" s="77" t="s">
        <v>179</v>
      </c>
      <c r="G8" s="77" t="s">
        <v>217</v>
      </c>
      <c r="H8" s="77" t="s">
        <v>218</v>
      </c>
      <c r="I8" s="76" t="s">
        <v>199</v>
      </c>
      <c r="J8" s="76" t="s">
        <v>219</v>
      </c>
      <c r="K8" s="89" t="s">
        <v>200</v>
      </c>
      <c r="L8" s="131" t="s">
        <v>162</v>
      </c>
      <c r="M8" s="130" t="s">
        <v>163</v>
      </c>
      <c r="N8" s="76" t="s">
        <v>420</v>
      </c>
      <c r="O8" s="76" t="s">
        <v>602</v>
      </c>
      <c r="P8" s="156" t="s">
        <v>603</v>
      </c>
      <c r="Q8" s="157"/>
    </row>
    <row r="9" spans="1:24" ht="13.5" customHeight="1">
      <c r="B9" s="143">
        <v>5595</v>
      </c>
      <c r="C9" s="144" t="s">
        <v>175</v>
      </c>
      <c r="D9" s="145">
        <v>5595</v>
      </c>
      <c r="E9" s="145" t="s">
        <v>327</v>
      </c>
      <c r="F9" s="77" t="s">
        <v>176</v>
      </c>
      <c r="G9" s="77" t="s">
        <v>206</v>
      </c>
      <c r="H9" s="77" t="s">
        <v>233</v>
      </c>
      <c r="I9" s="76" t="s">
        <v>178</v>
      </c>
      <c r="J9" s="76" t="s">
        <v>234</v>
      </c>
      <c r="K9" s="89" t="s">
        <v>235</v>
      </c>
      <c r="L9" s="131" t="s">
        <v>162</v>
      </c>
      <c r="M9" s="130" t="s">
        <v>163</v>
      </c>
      <c r="N9" s="76" t="s">
        <v>420</v>
      </c>
      <c r="O9" s="76" t="s">
        <v>602</v>
      </c>
      <c r="P9" s="156" t="s">
        <v>603</v>
      </c>
      <c r="Q9" s="157"/>
    </row>
    <row r="10" spans="1:24" ht="13.5" customHeight="1">
      <c r="A10" s="150" t="s">
        <v>772</v>
      </c>
      <c r="B10" s="143">
        <v>5608</v>
      </c>
      <c r="C10" s="144" t="s">
        <v>175</v>
      </c>
      <c r="D10" s="145">
        <v>5608</v>
      </c>
      <c r="E10" s="145" t="s">
        <v>328</v>
      </c>
      <c r="F10" s="77" t="s">
        <v>203</v>
      </c>
      <c r="G10" s="77" t="s">
        <v>208</v>
      </c>
      <c r="H10" s="77" t="s">
        <v>240</v>
      </c>
      <c r="I10" s="77" t="s">
        <v>174</v>
      </c>
      <c r="J10" s="76" t="s">
        <v>253</v>
      </c>
      <c r="K10" s="158" t="s">
        <v>173</v>
      </c>
      <c r="L10" s="131" t="s">
        <v>162</v>
      </c>
      <c r="M10" s="130" t="s">
        <v>163</v>
      </c>
      <c r="N10" s="76" t="s">
        <v>420</v>
      </c>
      <c r="O10" s="76" t="s">
        <v>602</v>
      </c>
      <c r="P10" s="156" t="s">
        <v>603</v>
      </c>
      <c r="Q10" s="157" t="s">
        <v>607</v>
      </c>
    </row>
    <row r="11" spans="1:24" ht="13.5" customHeight="1">
      <c r="A11" s="150" t="s">
        <v>773</v>
      </c>
      <c r="B11" s="143">
        <v>5609</v>
      </c>
      <c r="C11" s="144" t="s">
        <v>175</v>
      </c>
      <c r="D11" s="145">
        <v>5609</v>
      </c>
      <c r="E11" s="145" t="s">
        <v>329</v>
      </c>
      <c r="F11" s="77" t="s">
        <v>203</v>
      </c>
      <c r="G11" s="77" t="s">
        <v>208</v>
      </c>
      <c r="H11" s="77" t="s">
        <v>240</v>
      </c>
      <c r="I11" s="77" t="s">
        <v>174</v>
      </c>
      <c r="J11" s="76" t="s">
        <v>242</v>
      </c>
      <c r="K11" s="158" t="s">
        <v>173</v>
      </c>
      <c r="L11" s="131" t="s">
        <v>162</v>
      </c>
      <c r="M11" s="130" t="s">
        <v>163</v>
      </c>
      <c r="N11" s="76" t="s">
        <v>597</v>
      </c>
      <c r="O11" s="76" t="s">
        <v>602</v>
      </c>
      <c r="P11" s="156" t="s">
        <v>603</v>
      </c>
      <c r="Q11" s="157" t="s">
        <v>607</v>
      </c>
    </row>
    <row r="12" spans="1:24" ht="13.5" customHeight="1">
      <c r="A12" s="150" t="s">
        <v>774</v>
      </c>
      <c r="B12" s="143">
        <v>5910</v>
      </c>
      <c r="C12" s="144" t="s">
        <v>175</v>
      </c>
      <c r="D12" s="145">
        <v>5910</v>
      </c>
      <c r="E12" s="145" t="s">
        <v>330</v>
      </c>
      <c r="F12" s="77" t="s">
        <v>203</v>
      </c>
      <c r="G12" s="77" t="s">
        <v>208</v>
      </c>
      <c r="H12" s="77" t="s">
        <v>238</v>
      </c>
      <c r="I12" s="77" t="s">
        <v>174</v>
      </c>
      <c r="J12" s="76" t="s">
        <v>251</v>
      </c>
      <c r="K12" s="158" t="s">
        <v>173</v>
      </c>
      <c r="L12" s="131" t="s">
        <v>162</v>
      </c>
      <c r="M12" s="130" t="s">
        <v>163</v>
      </c>
      <c r="N12" s="76" t="s">
        <v>597</v>
      </c>
      <c r="O12" s="76" t="s">
        <v>602</v>
      </c>
      <c r="P12" s="156" t="s">
        <v>603</v>
      </c>
      <c r="Q12" s="157" t="s">
        <v>607</v>
      </c>
    </row>
    <row r="13" spans="1:24" ht="13.5" customHeight="1">
      <c r="A13" s="150" t="s">
        <v>775</v>
      </c>
      <c r="B13" s="143">
        <v>6079</v>
      </c>
      <c r="C13" s="144" t="s">
        <v>175</v>
      </c>
      <c r="D13" s="145">
        <v>6079</v>
      </c>
      <c r="E13" s="145" t="s">
        <v>331</v>
      </c>
      <c r="F13" s="77" t="s">
        <v>203</v>
      </c>
      <c r="G13" s="77" t="s">
        <v>208</v>
      </c>
      <c r="H13" s="77" t="s">
        <v>215</v>
      </c>
      <c r="I13" s="76" t="s">
        <v>194</v>
      </c>
      <c r="J13" s="76" t="s">
        <v>216</v>
      </c>
      <c r="K13" s="89" t="s">
        <v>193</v>
      </c>
      <c r="L13" s="131" t="s">
        <v>162</v>
      </c>
      <c r="M13" s="130" t="s">
        <v>163</v>
      </c>
      <c r="N13" s="76" t="s">
        <v>597</v>
      </c>
      <c r="O13" s="76" t="s">
        <v>602</v>
      </c>
      <c r="P13" s="156" t="s">
        <v>603</v>
      </c>
      <c r="Q13" s="157"/>
    </row>
    <row r="14" spans="1:24" ht="13.5" customHeight="1">
      <c r="B14" s="143">
        <v>6094</v>
      </c>
      <c r="C14" s="144" t="s">
        <v>175</v>
      </c>
      <c r="D14" s="145">
        <v>6094</v>
      </c>
      <c r="E14" s="145" t="s">
        <v>332</v>
      </c>
      <c r="F14" s="77" t="s">
        <v>176</v>
      </c>
      <c r="G14" s="77" t="s">
        <v>213</v>
      </c>
      <c r="H14" s="77" t="s">
        <v>214</v>
      </c>
      <c r="I14" s="78" t="s">
        <v>195</v>
      </c>
      <c r="J14" s="76" t="s">
        <v>212</v>
      </c>
      <c r="K14" s="89" t="s">
        <v>196</v>
      </c>
      <c r="L14" s="131" t="s">
        <v>162</v>
      </c>
      <c r="M14" s="130" t="s">
        <v>163</v>
      </c>
      <c r="N14" s="76" t="s">
        <v>597</v>
      </c>
      <c r="O14" s="76" t="s">
        <v>602</v>
      </c>
      <c r="P14" s="156" t="s">
        <v>603</v>
      </c>
      <c r="Q14" s="157"/>
    </row>
    <row r="15" spans="1:24" ht="13.5" customHeight="1">
      <c r="A15" s="150" t="s">
        <v>776</v>
      </c>
      <c r="B15" s="143">
        <v>6108</v>
      </c>
      <c r="C15" s="144" t="s">
        <v>175</v>
      </c>
      <c r="D15" s="145">
        <v>6108</v>
      </c>
      <c r="E15" s="145" t="s">
        <v>374</v>
      </c>
      <c r="F15" s="77" t="s">
        <v>176</v>
      </c>
      <c r="G15" s="77" t="s">
        <v>210</v>
      </c>
      <c r="H15" s="77" t="s">
        <v>350</v>
      </c>
      <c r="I15" s="76" t="s">
        <v>358</v>
      </c>
      <c r="J15" s="76" t="s">
        <v>359</v>
      </c>
      <c r="K15" s="89" t="s">
        <v>357</v>
      </c>
      <c r="L15" s="131" t="s">
        <v>346</v>
      </c>
      <c r="M15" s="130" t="s">
        <v>353</v>
      </c>
      <c r="N15" s="76" t="s">
        <v>420</v>
      </c>
      <c r="O15" s="76" t="s">
        <v>602</v>
      </c>
      <c r="P15" s="156" t="s">
        <v>603</v>
      </c>
      <c r="Q15" s="157"/>
    </row>
    <row r="16" spans="1:24" ht="13.5" customHeight="1">
      <c r="B16" s="124">
        <v>6114</v>
      </c>
      <c r="C16" s="144" t="s">
        <v>175</v>
      </c>
      <c r="D16" s="146">
        <v>6114</v>
      </c>
      <c r="E16" s="145" t="s">
        <v>333</v>
      </c>
      <c r="F16" s="77" t="s">
        <v>203</v>
      </c>
      <c r="G16" s="77" t="s">
        <v>208</v>
      </c>
      <c r="H16" s="77" t="s">
        <v>243</v>
      </c>
      <c r="I16" s="77" t="s">
        <v>174</v>
      </c>
      <c r="J16" s="76" t="s">
        <v>244</v>
      </c>
      <c r="K16" s="158" t="s">
        <v>173</v>
      </c>
      <c r="L16" s="131" t="s">
        <v>162</v>
      </c>
      <c r="M16" s="130" t="s">
        <v>163</v>
      </c>
      <c r="N16" s="76" t="s">
        <v>420</v>
      </c>
      <c r="O16" s="76" t="s">
        <v>602</v>
      </c>
      <c r="P16" s="156" t="s">
        <v>603</v>
      </c>
      <c r="Q16" s="157" t="s">
        <v>607</v>
      </c>
    </row>
    <row r="17" spans="1:17" ht="13.5" customHeight="1">
      <c r="B17" s="124">
        <v>6148</v>
      </c>
      <c r="C17" s="144" t="s">
        <v>175</v>
      </c>
      <c r="D17" s="146">
        <v>6148</v>
      </c>
      <c r="E17" s="145" t="s">
        <v>334</v>
      </c>
      <c r="F17" s="77" t="s">
        <v>203</v>
      </c>
      <c r="G17" s="77" t="s">
        <v>208</v>
      </c>
      <c r="H17" s="77" t="s">
        <v>249</v>
      </c>
      <c r="I17" s="77" t="s">
        <v>174</v>
      </c>
      <c r="J17" s="76" t="s">
        <v>250</v>
      </c>
      <c r="K17" s="158" t="s">
        <v>173</v>
      </c>
      <c r="L17" s="131" t="s">
        <v>162</v>
      </c>
      <c r="M17" s="130" t="s">
        <v>163</v>
      </c>
      <c r="N17" s="76" t="s">
        <v>420</v>
      </c>
      <c r="O17" s="76" t="s">
        <v>602</v>
      </c>
      <c r="P17" s="156" t="s">
        <v>603</v>
      </c>
      <c r="Q17" s="157" t="s">
        <v>607</v>
      </c>
    </row>
    <row r="18" spans="1:17" ht="13.5" customHeight="1">
      <c r="A18" s="150" t="s">
        <v>777</v>
      </c>
      <c r="B18" s="124">
        <v>6173</v>
      </c>
      <c r="C18" s="144" t="s">
        <v>175</v>
      </c>
      <c r="D18" s="146">
        <v>6173</v>
      </c>
      <c r="E18" s="145" t="s">
        <v>335</v>
      </c>
      <c r="F18" s="77" t="s">
        <v>203</v>
      </c>
      <c r="G18" s="77" t="s">
        <v>208</v>
      </c>
      <c r="H18" s="77" t="s">
        <v>245</v>
      </c>
      <c r="I18" s="77" t="s">
        <v>174</v>
      </c>
      <c r="J18" s="76" t="s">
        <v>246</v>
      </c>
      <c r="K18" s="158" t="s">
        <v>173</v>
      </c>
      <c r="L18" s="131" t="s">
        <v>162</v>
      </c>
      <c r="M18" s="130" t="s">
        <v>163</v>
      </c>
      <c r="N18" s="76" t="s">
        <v>420</v>
      </c>
      <c r="O18" s="76" t="s">
        <v>602</v>
      </c>
      <c r="P18" s="156" t="s">
        <v>603</v>
      </c>
      <c r="Q18" s="157" t="s">
        <v>607</v>
      </c>
    </row>
    <row r="19" spans="1:17" ht="13.5" customHeight="1">
      <c r="B19" s="143">
        <v>6312</v>
      </c>
      <c r="C19" s="144" t="s">
        <v>181</v>
      </c>
      <c r="D19" s="145">
        <v>6312</v>
      </c>
      <c r="E19" s="145" t="s">
        <v>380</v>
      </c>
      <c r="F19" s="77" t="s">
        <v>369</v>
      </c>
      <c r="G19" s="77" t="s">
        <v>370</v>
      </c>
      <c r="H19" s="77" t="s">
        <v>354</v>
      </c>
      <c r="I19" s="76" t="s">
        <v>371</v>
      </c>
      <c r="J19" s="76" t="s">
        <v>372</v>
      </c>
      <c r="K19" s="89" t="s">
        <v>373</v>
      </c>
      <c r="L19" s="131" t="s">
        <v>346</v>
      </c>
      <c r="M19" s="130" t="s">
        <v>353</v>
      </c>
      <c r="N19" s="106" t="s">
        <v>595</v>
      </c>
      <c r="O19" s="76" t="s">
        <v>604</v>
      </c>
      <c r="P19" s="156" t="s">
        <v>603</v>
      </c>
      <c r="Q19" s="157"/>
    </row>
    <row r="20" spans="1:17" ht="13.5" customHeight="1">
      <c r="A20" s="150" t="s">
        <v>778</v>
      </c>
      <c r="B20" s="143">
        <v>7132</v>
      </c>
      <c r="C20" s="144" t="s">
        <v>169</v>
      </c>
      <c r="D20" s="145">
        <v>7132</v>
      </c>
      <c r="E20" s="145" t="s">
        <v>336</v>
      </c>
      <c r="F20" s="77" t="s">
        <v>203</v>
      </c>
      <c r="G20" s="77" t="s">
        <v>208</v>
      </c>
      <c r="H20" s="77" t="s">
        <v>247</v>
      </c>
      <c r="I20" s="77" t="s">
        <v>172</v>
      </c>
      <c r="J20" s="76" t="s">
        <v>248</v>
      </c>
      <c r="K20" s="158" t="s">
        <v>173</v>
      </c>
      <c r="L20" s="131" t="s">
        <v>162</v>
      </c>
      <c r="M20" s="130" t="s">
        <v>163</v>
      </c>
      <c r="N20" s="76" t="s">
        <v>420</v>
      </c>
      <c r="O20" s="76" t="s">
        <v>602</v>
      </c>
      <c r="P20" s="156" t="s">
        <v>603</v>
      </c>
      <c r="Q20" s="157" t="s">
        <v>607</v>
      </c>
    </row>
    <row r="21" spans="1:17" ht="13.5" customHeight="1">
      <c r="A21" s="150" t="s">
        <v>779</v>
      </c>
      <c r="B21" s="143">
        <v>7532</v>
      </c>
      <c r="C21" s="144" t="s">
        <v>169</v>
      </c>
      <c r="D21" s="145">
        <v>7532</v>
      </c>
      <c r="E21" s="145" t="s">
        <v>375</v>
      </c>
      <c r="F21" s="77" t="s">
        <v>203</v>
      </c>
      <c r="G21" s="77" t="s">
        <v>208</v>
      </c>
      <c r="H21" s="77" t="s">
        <v>351</v>
      </c>
      <c r="I21" s="77" t="s">
        <v>174</v>
      </c>
      <c r="J21" s="77" t="s">
        <v>360</v>
      </c>
      <c r="K21" s="158" t="s">
        <v>173</v>
      </c>
      <c r="L21" s="131" t="s">
        <v>346</v>
      </c>
      <c r="M21" s="130" t="s">
        <v>353</v>
      </c>
      <c r="N21" s="106" t="s">
        <v>595</v>
      </c>
      <c r="O21" s="76" t="s">
        <v>602</v>
      </c>
      <c r="P21" s="156" t="s">
        <v>603</v>
      </c>
      <c r="Q21" s="157" t="s">
        <v>607</v>
      </c>
    </row>
    <row r="22" spans="1:17" ht="13.5" customHeight="1">
      <c r="A22" s="150" t="s">
        <v>780</v>
      </c>
      <c r="B22" s="143">
        <v>7550</v>
      </c>
      <c r="C22" s="144" t="s">
        <v>181</v>
      </c>
      <c r="D22" s="145">
        <v>7550</v>
      </c>
      <c r="E22" s="145" t="s">
        <v>337</v>
      </c>
      <c r="F22" s="77" t="s">
        <v>203</v>
      </c>
      <c r="G22" s="77" t="s">
        <v>207</v>
      </c>
      <c r="H22" s="77" t="s">
        <v>238</v>
      </c>
      <c r="I22" s="76" t="s">
        <v>182</v>
      </c>
      <c r="J22" s="76" t="s">
        <v>239</v>
      </c>
      <c r="K22" s="89" t="s">
        <v>183</v>
      </c>
      <c r="L22" s="131" t="s">
        <v>162</v>
      </c>
      <c r="M22" s="130" t="s">
        <v>163</v>
      </c>
      <c r="N22" s="76" t="s">
        <v>420</v>
      </c>
      <c r="O22" s="76" t="s">
        <v>602</v>
      </c>
      <c r="P22" s="156" t="s">
        <v>603</v>
      </c>
      <c r="Q22" s="157"/>
    </row>
    <row r="23" spans="1:17" ht="13.5" customHeight="1">
      <c r="A23" s="150" t="s">
        <v>781</v>
      </c>
      <c r="B23" s="143">
        <v>8217</v>
      </c>
      <c r="C23" s="144" t="s">
        <v>169</v>
      </c>
      <c r="D23" s="145">
        <v>8217</v>
      </c>
      <c r="E23" s="145" t="s">
        <v>338</v>
      </c>
      <c r="F23" s="77" t="s">
        <v>179</v>
      </c>
      <c r="G23" s="77" t="s">
        <v>209</v>
      </c>
      <c r="H23" s="77" t="s">
        <v>211</v>
      </c>
      <c r="I23" s="76" t="s">
        <v>197</v>
      </c>
      <c r="J23" s="76" t="s">
        <v>314</v>
      </c>
      <c r="K23" s="89" t="s">
        <v>198</v>
      </c>
      <c r="L23" s="131" t="s">
        <v>162</v>
      </c>
      <c r="M23" s="130" t="s">
        <v>163</v>
      </c>
      <c r="N23" s="76" t="s">
        <v>420</v>
      </c>
      <c r="O23" s="76" t="s">
        <v>602</v>
      </c>
      <c r="P23" s="156" t="s">
        <v>603</v>
      </c>
      <c r="Q23" s="157"/>
    </row>
    <row r="24" spans="1:17" ht="13.5" customHeight="1">
      <c r="A24" s="150" t="s">
        <v>782</v>
      </c>
      <c r="B24" s="143">
        <v>8934</v>
      </c>
      <c r="C24" s="144" t="s">
        <v>169</v>
      </c>
      <c r="D24" s="145">
        <v>8934</v>
      </c>
      <c r="E24" s="145" t="s">
        <v>376</v>
      </c>
      <c r="F24" s="77" t="s">
        <v>176</v>
      </c>
      <c r="G24" s="77" t="s">
        <v>210</v>
      </c>
      <c r="H24" s="77" t="s">
        <v>347</v>
      </c>
      <c r="I24" s="76" t="s">
        <v>361</v>
      </c>
      <c r="J24" s="76" t="s">
        <v>362</v>
      </c>
      <c r="K24" s="89" t="s">
        <v>363</v>
      </c>
      <c r="L24" s="131" t="s">
        <v>346</v>
      </c>
      <c r="M24" s="130" t="s">
        <v>353</v>
      </c>
      <c r="N24" s="106" t="s">
        <v>596</v>
      </c>
      <c r="O24" s="76" t="s">
        <v>602</v>
      </c>
      <c r="P24" s="156" t="s">
        <v>603</v>
      </c>
      <c r="Q24" s="157"/>
    </row>
    <row r="25" spans="1:17" ht="13.5" customHeight="1">
      <c r="A25" s="150" t="s">
        <v>783</v>
      </c>
      <c r="B25" s="143">
        <v>8935</v>
      </c>
      <c r="C25" s="144" t="s">
        <v>169</v>
      </c>
      <c r="D25" s="145">
        <v>8935</v>
      </c>
      <c r="E25" s="145" t="s">
        <v>377</v>
      </c>
      <c r="F25" s="77" t="s">
        <v>176</v>
      </c>
      <c r="G25" s="77" t="s">
        <v>210</v>
      </c>
      <c r="H25" s="77" t="s">
        <v>347</v>
      </c>
      <c r="I25" s="76" t="s">
        <v>361</v>
      </c>
      <c r="J25" s="76" t="s">
        <v>364</v>
      </c>
      <c r="K25" s="89" t="s">
        <v>363</v>
      </c>
      <c r="L25" s="131" t="s">
        <v>346</v>
      </c>
      <c r="M25" s="130" t="s">
        <v>353</v>
      </c>
      <c r="N25" s="106" t="s">
        <v>596</v>
      </c>
      <c r="O25" s="76" t="s">
        <v>602</v>
      </c>
      <c r="P25" s="156" t="s">
        <v>603</v>
      </c>
      <c r="Q25" s="157"/>
    </row>
    <row r="26" spans="1:17" ht="13.5" customHeight="1">
      <c r="A26" s="150" t="s">
        <v>784</v>
      </c>
      <c r="B26" s="143">
        <v>9181</v>
      </c>
      <c r="C26" s="144" t="s">
        <v>169</v>
      </c>
      <c r="D26" s="145">
        <v>9181</v>
      </c>
      <c r="E26" s="145" t="s">
        <v>378</v>
      </c>
      <c r="F26" s="77" t="s">
        <v>179</v>
      </c>
      <c r="G26" s="77" t="s">
        <v>209</v>
      </c>
      <c r="H26" s="77" t="s">
        <v>348</v>
      </c>
      <c r="I26" s="76" t="s">
        <v>365</v>
      </c>
      <c r="J26" s="76" t="s">
        <v>366</v>
      </c>
      <c r="K26" s="89" t="s">
        <v>190</v>
      </c>
      <c r="L26" s="131" t="s">
        <v>346</v>
      </c>
      <c r="M26" s="130" t="s">
        <v>353</v>
      </c>
      <c r="N26" s="106" t="s">
        <v>596</v>
      </c>
      <c r="O26" s="76" t="s">
        <v>602</v>
      </c>
      <c r="P26" s="156" t="s">
        <v>603</v>
      </c>
      <c r="Q26" s="157"/>
    </row>
    <row r="27" spans="1:17" ht="13.5" customHeight="1">
      <c r="A27" s="150" t="s">
        <v>785</v>
      </c>
      <c r="B27" s="143">
        <v>9208</v>
      </c>
      <c r="C27" s="144" t="s">
        <v>169</v>
      </c>
      <c r="D27" s="145">
        <v>9208</v>
      </c>
      <c r="E27" s="145" t="s">
        <v>379</v>
      </c>
      <c r="F27" s="77" t="s">
        <v>176</v>
      </c>
      <c r="G27" s="77" t="s">
        <v>210</v>
      </c>
      <c r="H27" s="77" t="s">
        <v>349</v>
      </c>
      <c r="I27" s="76" t="s">
        <v>367</v>
      </c>
      <c r="J27" s="76" t="s">
        <v>368</v>
      </c>
      <c r="K27" s="89" t="s">
        <v>363</v>
      </c>
      <c r="L27" s="131" t="s">
        <v>346</v>
      </c>
      <c r="M27" s="130" t="s">
        <v>353</v>
      </c>
      <c r="N27" s="106" t="s">
        <v>596</v>
      </c>
      <c r="O27" s="76" t="s">
        <v>602</v>
      </c>
      <c r="P27" s="156" t="s">
        <v>603</v>
      </c>
      <c r="Q27" s="157"/>
    </row>
    <row r="28" spans="1:17" ht="13.5" customHeight="1">
      <c r="B28" s="143">
        <v>9606</v>
      </c>
      <c r="C28" s="144" t="s">
        <v>169</v>
      </c>
      <c r="D28" s="145">
        <v>9606</v>
      </c>
      <c r="E28" s="145" t="s">
        <v>339</v>
      </c>
      <c r="F28" s="77" t="s">
        <v>203</v>
      </c>
      <c r="G28" s="77" t="s">
        <v>207</v>
      </c>
      <c r="H28" s="77" t="s">
        <v>227</v>
      </c>
      <c r="I28" s="76" t="s">
        <v>201</v>
      </c>
      <c r="J28" s="76" t="s">
        <v>228</v>
      </c>
      <c r="K28" s="89" t="s">
        <v>202</v>
      </c>
      <c r="L28" s="131" t="s">
        <v>162</v>
      </c>
      <c r="M28" s="130" t="s">
        <v>163</v>
      </c>
      <c r="N28" s="76" t="s">
        <v>420</v>
      </c>
      <c r="O28" s="76" t="s">
        <v>602</v>
      </c>
      <c r="P28" s="156" t="s">
        <v>603</v>
      </c>
      <c r="Q28" s="157"/>
    </row>
    <row r="29" spans="1:17" ht="13.5" customHeight="1">
      <c r="B29" s="143">
        <v>9756</v>
      </c>
      <c r="C29" s="144" t="s">
        <v>169</v>
      </c>
      <c r="D29" s="145">
        <v>9756</v>
      </c>
      <c r="E29" s="145" t="s">
        <v>340</v>
      </c>
      <c r="F29" s="77" t="s">
        <v>203</v>
      </c>
      <c r="G29" s="77" t="s">
        <v>208</v>
      </c>
      <c r="H29" s="77" t="s">
        <v>240</v>
      </c>
      <c r="I29" s="77" t="s">
        <v>170</v>
      </c>
      <c r="J29" s="76" t="s">
        <v>241</v>
      </c>
      <c r="K29" s="158" t="s">
        <v>171</v>
      </c>
      <c r="L29" s="131" t="s">
        <v>162</v>
      </c>
      <c r="M29" s="130" t="s">
        <v>163</v>
      </c>
      <c r="N29" s="76" t="s">
        <v>420</v>
      </c>
      <c r="O29" s="76" t="s">
        <v>602</v>
      </c>
      <c r="P29" s="156" t="s">
        <v>603</v>
      </c>
      <c r="Q29" s="157" t="s">
        <v>608</v>
      </c>
    </row>
    <row r="30" spans="1:17">
      <c r="A30" s="150" t="s">
        <v>786</v>
      </c>
      <c r="B30" s="104">
        <v>2493</v>
      </c>
      <c r="C30" s="102" t="s">
        <v>393</v>
      </c>
      <c r="D30" s="103">
        <v>2493</v>
      </c>
      <c r="E30" s="104" t="str">
        <f t="shared" ref="E30:E85" si="0">C30&amp;D30</f>
        <v>岐阜400あ2493</v>
      </c>
      <c r="F30" s="106" t="s">
        <v>394</v>
      </c>
      <c r="G30" s="105" t="s">
        <v>400</v>
      </c>
      <c r="H30" s="105" t="s">
        <v>349</v>
      </c>
      <c r="I30" s="105" t="s">
        <v>395</v>
      </c>
      <c r="J30" s="105" t="s">
        <v>401</v>
      </c>
      <c r="K30" s="105" t="s">
        <v>396</v>
      </c>
      <c r="L30" s="131" t="s">
        <v>162</v>
      </c>
      <c r="M30" s="130" t="s">
        <v>163</v>
      </c>
      <c r="N30" s="76" t="s">
        <v>420</v>
      </c>
      <c r="O30" s="76" t="s">
        <v>604</v>
      </c>
      <c r="P30" s="156" t="s">
        <v>603</v>
      </c>
      <c r="Q30" s="157"/>
    </row>
    <row r="31" spans="1:17">
      <c r="A31" s="150" t="s">
        <v>787</v>
      </c>
      <c r="B31" s="104">
        <v>2497</v>
      </c>
      <c r="C31" s="102" t="s">
        <v>393</v>
      </c>
      <c r="D31" s="103">
        <v>2497</v>
      </c>
      <c r="E31" s="104" t="str">
        <f t="shared" si="0"/>
        <v>岐阜400あ2497</v>
      </c>
      <c r="F31" s="106" t="s">
        <v>369</v>
      </c>
      <c r="G31" s="105" t="s">
        <v>528</v>
      </c>
      <c r="H31" s="105" t="s">
        <v>399</v>
      </c>
      <c r="I31" s="105" t="s">
        <v>397</v>
      </c>
      <c r="J31" s="105" t="s">
        <v>402</v>
      </c>
      <c r="K31" s="105" t="s">
        <v>398</v>
      </c>
      <c r="L31" s="131" t="s">
        <v>162</v>
      </c>
      <c r="M31" s="130" t="s">
        <v>163</v>
      </c>
      <c r="N31" s="76" t="s">
        <v>420</v>
      </c>
      <c r="O31" s="76" t="s">
        <v>604</v>
      </c>
      <c r="P31" s="156" t="s">
        <v>603</v>
      </c>
      <c r="Q31" s="157" t="s">
        <v>613</v>
      </c>
    </row>
    <row r="32" spans="1:17">
      <c r="B32" s="104">
        <v>7593</v>
      </c>
      <c r="C32" s="102" t="s">
        <v>403</v>
      </c>
      <c r="D32" s="103">
        <v>7593</v>
      </c>
      <c r="E32" s="104" t="str">
        <f t="shared" si="0"/>
        <v>岐阜100い7593</v>
      </c>
      <c r="F32" s="106" t="s">
        <v>179</v>
      </c>
      <c r="G32" s="125" t="s">
        <v>217</v>
      </c>
      <c r="H32" s="105" t="s">
        <v>418</v>
      </c>
      <c r="I32" s="105" t="s">
        <v>404</v>
      </c>
      <c r="J32" s="105" t="s">
        <v>419</v>
      </c>
      <c r="K32" s="106" t="s">
        <v>405</v>
      </c>
      <c r="L32" s="131" t="s">
        <v>162</v>
      </c>
      <c r="M32" s="130" t="s">
        <v>163</v>
      </c>
      <c r="N32" s="76" t="s">
        <v>420</v>
      </c>
      <c r="O32" s="76" t="s">
        <v>602</v>
      </c>
      <c r="P32" s="156" t="s">
        <v>603</v>
      </c>
      <c r="Q32" s="157"/>
    </row>
    <row r="33" spans="1:17">
      <c r="B33" s="104">
        <v>2853</v>
      </c>
      <c r="C33" s="102" t="s">
        <v>750</v>
      </c>
      <c r="D33" s="103">
        <v>2853</v>
      </c>
      <c r="E33" s="104" t="str">
        <f t="shared" si="0"/>
        <v>横浜100き2853</v>
      </c>
      <c r="F33" s="106" t="s">
        <v>407</v>
      </c>
      <c r="G33" s="77" t="s">
        <v>208</v>
      </c>
      <c r="H33" s="105" t="s">
        <v>416</v>
      </c>
      <c r="I33" s="105" t="s">
        <v>355</v>
      </c>
      <c r="J33" s="105" t="s">
        <v>417</v>
      </c>
      <c r="K33" s="106" t="s">
        <v>196</v>
      </c>
      <c r="L33" s="131" t="s">
        <v>162</v>
      </c>
      <c r="M33" s="130" t="s">
        <v>163</v>
      </c>
      <c r="N33" s="76" t="s">
        <v>420</v>
      </c>
      <c r="O33" s="76" t="s">
        <v>602</v>
      </c>
      <c r="P33" s="156" t="s">
        <v>603</v>
      </c>
      <c r="Q33" s="157"/>
    </row>
    <row r="34" spans="1:17">
      <c r="A34" s="150" t="s">
        <v>788</v>
      </c>
      <c r="B34" s="104">
        <v>2168</v>
      </c>
      <c r="C34" s="102" t="s">
        <v>408</v>
      </c>
      <c r="D34" s="103">
        <v>2168</v>
      </c>
      <c r="E34" s="104" t="str">
        <f t="shared" si="0"/>
        <v>岐阜11い2168</v>
      </c>
      <c r="F34" s="106" t="s">
        <v>409</v>
      </c>
      <c r="G34" s="77" t="s">
        <v>526</v>
      </c>
      <c r="H34" s="105" t="s">
        <v>214</v>
      </c>
      <c r="I34" s="113" t="s">
        <v>410</v>
      </c>
      <c r="J34" s="105" t="s">
        <v>413</v>
      </c>
      <c r="K34" s="106" t="s">
        <v>411</v>
      </c>
      <c r="L34" s="131" t="s">
        <v>162</v>
      </c>
      <c r="M34" s="130" t="s">
        <v>163</v>
      </c>
      <c r="N34" s="76" t="s">
        <v>420</v>
      </c>
      <c r="O34" s="76" t="s">
        <v>602</v>
      </c>
      <c r="P34" s="156" t="s">
        <v>606</v>
      </c>
      <c r="Q34" s="157"/>
    </row>
    <row r="35" spans="1:17">
      <c r="A35" s="150" t="s">
        <v>789</v>
      </c>
      <c r="B35" s="104">
        <v>3762</v>
      </c>
      <c r="C35" s="102" t="s">
        <v>408</v>
      </c>
      <c r="D35" s="103">
        <v>3762</v>
      </c>
      <c r="E35" s="104" t="str">
        <f t="shared" si="0"/>
        <v>岐阜11い3762</v>
      </c>
      <c r="F35" s="106" t="s">
        <v>409</v>
      </c>
      <c r="G35" s="77" t="s">
        <v>527</v>
      </c>
      <c r="H35" s="105" t="s">
        <v>414</v>
      </c>
      <c r="I35" s="113" t="s">
        <v>412</v>
      </c>
      <c r="J35" s="105" t="s">
        <v>415</v>
      </c>
      <c r="K35" s="106" t="s">
        <v>235</v>
      </c>
      <c r="L35" s="131" t="s">
        <v>162</v>
      </c>
      <c r="M35" s="130" t="s">
        <v>163</v>
      </c>
      <c r="N35" s="76" t="s">
        <v>420</v>
      </c>
      <c r="O35" s="76" t="s">
        <v>602</v>
      </c>
      <c r="P35" s="156" t="s">
        <v>606</v>
      </c>
      <c r="Q35" s="157"/>
    </row>
    <row r="36" spans="1:17">
      <c r="A36" s="150" t="s">
        <v>790</v>
      </c>
      <c r="B36" s="116">
        <v>1207</v>
      </c>
      <c r="C36" s="115" t="s">
        <v>421</v>
      </c>
      <c r="D36" s="114">
        <v>1207</v>
      </c>
      <c r="E36" s="116" t="str">
        <f t="shared" si="0"/>
        <v>三河100き1207</v>
      </c>
      <c r="F36" s="117" t="s">
        <v>422</v>
      </c>
      <c r="G36" s="77" t="s">
        <v>423</v>
      </c>
      <c r="H36" s="127" t="s">
        <v>424</v>
      </c>
      <c r="I36" s="117" t="s">
        <v>425</v>
      </c>
      <c r="J36" s="117" t="s">
        <v>426</v>
      </c>
      <c r="K36" s="117" t="s">
        <v>469</v>
      </c>
      <c r="L36" s="132" t="s">
        <v>162</v>
      </c>
      <c r="M36" s="133" t="s">
        <v>163</v>
      </c>
      <c r="N36" s="118" t="s">
        <v>420</v>
      </c>
      <c r="O36" s="76" t="s">
        <v>602</v>
      </c>
      <c r="P36" s="156" t="s">
        <v>603</v>
      </c>
      <c r="Q36" s="157" t="s">
        <v>608</v>
      </c>
    </row>
    <row r="37" spans="1:17">
      <c r="A37" s="150" t="s">
        <v>791</v>
      </c>
      <c r="B37" s="104">
        <v>1166</v>
      </c>
      <c r="C37" s="102" t="s">
        <v>421</v>
      </c>
      <c r="D37" s="103">
        <v>1166</v>
      </c>
      <c r="E37" s="104" t="str">
        <f t="shared" si="0"/>
        <v>三河100き1166</v>
      </c>
      <c r="F37" s="105" t="s">
        <v>422</v>
      </c>
      <c r="G37" s="77" t="s">
        <v>210</v>
      </c>
      <c r="H37" s="134" t="s">
        <v>427</v>
      </c>
      <c r="I37" s="105" t="s">
        <v>428</v>
      </c>
      <c r="J37" s="105" t="s">
        <v>429</v>
      </c>
      <c r="K37" s="158" t="s">
        <v>173</v>
      </c>
      <c r="L37" s="132" t="s">
        <v>162</v>
      </c>
      <c r="M37" s="133" t="s">
        <v>163</v>
      </c>
      <c r="N37" s="118" t="s">
        <v>420</v>
      </c>
      <c r="O37" s="76" t="s">
        <v>602</v>
      </c>
      <c r="P37" s="156" t="s">
        <v>603</v>
      </c>
      <c r="Q37" s="157"/>
    </row>
    <row r="38" spans="1:17">
      <c r="A38" s="150" t="s">
        <v>792</v>
      </c>
      <c r="B38" s="116">
        <v>2479</v>
      </c>
      <c r="C38" s="115" t="s">
        <v>430</v>
      </c>
      <c r="D38" s="114">
        <v>2479</v>
      </c>
      <c r="E38" s="116" t="str">
        <f t="shared" si="0"/>
        <v>三河11え2479</v>
      </c>
      <c r="F38" s="117" t="s">
        <v>431</v>
      </c>
      <c r="G38" s="77" t="s">
        <v>598</v>
      </c>
      <c r="H38" s="127" t="s">
        <v>432</v>
      </c>
      <c r="I38" s="117" t="s">
        <v>433</v>
      </c>
      <c r="J38" s="117" t="s">
        <v>434</v>
      </c>
      <c r="K38" s="117" t="s">
        <v>470</v>
      </c>
      <c r="L38" s="132" t="s">
        <v>162</v>
      </c>
      <c r="M38" s="133" t="s">
        <v>163</v>
      </c>
      <c r="N38" s="118" t="s">
        <v>420</v>
      </c>
      <c r="O38" s="76" t="s">
        <v>602</v>
      </c>
      <c r="P38" s="156" t="s">
        <v>603</v>
      </c>
      <c r="Q38" s="157" t="s">
        <v>609</v>
      </c>
    </row>
    <row r="39" spans="1:17">
      <c r="A39" s="150" t="s">
        <v>793</v>
      </c>
      <c r="B39" s="121">
        <v>835</v>
      </c>
      <c r="C39" s="120" t="s">
        <v>435</v>
      </c>
      <c r="D39" s="119">
        <v>835</v>
      </c>
      <c r="E39" s="121" t="str">
        <f t="shared" si="0"/>
        <v>三河100え835</v>
      </c>
      <c r="F39" s="122" t="s">
        <v>436</v>
      </c>
      <c r="G39" s="77" t="s">
        <v>598</v>
      </c>
      <c r="H39" s="135" t="s">
        <v>437</v>
      </c>
      <c r="I39" s="135" t="s">
        <v>438</v>
      </c>
      <c r="J39" s="135" t="s">
        <v>439</v>
      </c>
      <c r="K39" s="159" t="s">
        <v>471</v>
      </c>
      <c r="L39" s="132" t="s">
        <v>162</v>
      </c>
      <c r="M39" s="133" t="s">
        <v>163</v>
      </c>
      <c r="N39" s="118" t="s">
        <v>420</v>
      </c>
      <c r="O39" s="76" t="s">
        <v>602</v>
      </c>
      <c r="P39" s="156" t="s">
        <v>603</v>
      </c>
      <c r="Q39" s="157" t="s">
        <v>610</v>
      </c>
    </row>
    <row r="40" spans="1:17">
      <c r="A40" s="150" t="s">
        <v>794</v>
      </c>
      <c r="B40" s="121">
        <v>988</v>
      </c>
      <c r="C40" s="120" t="s">
        <v>435</v>
      </c>
      <c r="D40" s="119">
        <v>988</v>
      </c>
      <c r="E40" s="121" t="str">
        <f t="shared" si="0"/>
        <v>三河100え988</v>
      </c>
      <c r="F40" s="122" t="s">
        <v>440</v>
      </c>
      <c r="G40" s="77" t="s">
        <v>598</v>
      </c>
      <c r="H40" s="127" t="s">
        <v>441</v>
      </c>
      <c r="I40" s="122" t="s">
        <v>443</v>
      </c>
      <c r="J40" s="122" t="s">
        <v>442</v>
      </c>
      <c r="K40" s="159" t="s">
        <v>472</v>
      </c>
      <c r="L40" s="132" t="s">
        <v>162</v>
      </c>
      <c r="M40" s="133" t="s">
        <v>163</v>
      </c>
      <c r="N40" s="118" t="s">
        <v>420</v>
      </c>
      <c r="O40" s="76" t="s">
        <v>602</v>
      </c>
      <c r="P40" s="156" t="s">
        <v>603</v>
      </c>
      <c r="Q40" s="157" t="s">
        <v>611</v>
      </c>
    </row>
    <row r="41" spans="1:17">
      <c r="A41" s="150" t="s">
        <v>795</v>
      </c>
      <c r="B41" s="121">
        <v>459</v>
      </c>
      <c r="C41" s="120" t="s">
        <v>444</v>
      </c>
      <c r="D41" s="119">
        <v>459</v>
      </c>
      <c r="E41" s="121" t="str">
        <f t="shared" si="0"/>
        <v>滋賀100え459</v>
      </c>
      <c r="F41" s="122" t="s">
        <v>445</v>
      </c>
      <c r="G41" s="77" t="s">
        <v>598</v>
      </c>
      <c r="H41" s="127" t="s">
        <v>446</v>
      </c>
      <c r="I41" s="122" t="s">
        <v>447</v>
      </c>
      <c r="J41" s="122" t="s">
        <v>448</v>
      </c>
      <c r="K41" s="137" t="s">
        <v>473</v>
      </c>
      <c r="L41" s="132" t="s">
        <v>162</v>
      </c>
      <c r="M41" s="133" t="s">
        <v>163</v>
      </c>
      <c r="N41" s="118" t="s">
        <v>420</v>
      </c>
      <c r="O41" s="76" t="s">
        <v>602</v>
      </c>
      <c r="P41" s="156" t="s">
        <v>603</v>
      </c>
      <c r="Q41" s="157" t="s">
        <v>609</v>
      </c>
    </row>
    <row r="42" spans="1:17">
      <c r="A42" s="150" t="s">
        <v>796</v>
      </c>
      <c r="B42" s="121">
        <v>463</v>
      </c>
      <c r="C42" s="120" t="s">
        <v>444</v>
      </c>
      <c r="D42" s="119">
        <v>463</v>
      </c>
      <c r="E42" s="121" t="str">
        <f t="shared" si="0"/>
        <v>滋賀100え463</v>
      </c>
      <c r="F42" s="122" t="s">
        <v>445</v>
      </c>
      <c r="G42" s="77" t="s">
        <v>598</v>
      </c>
      <c r="H42" s="135" t="s">
        <v>240</v>
      </c>
      <c r="I42" s="122" t="s">
        <v>447</v>
      </c>
      <c r="J42" s="122" t="s">
        <v>449</v>
      </c>
      <c r="K42" s="137" t="s">
        <v>474</v>
      </c>
      <c r="L42" s="132" t="s">
        <v>162</v>
      </c>
      <c r="M42" s="133" t="s">
        <v>163</v>
      </c>
      <c r="N42" s="118" t="s">
        <v>420</v>
      </c>
      <c r="O42" s="76" t="s">
        <v>602</v>
      </c>
      <c r="P42" s="156" t="s">
        <v>603</v>
      </c>
      <c r="Q42" s="157" t="s">
        <v>609</v>
      </c>
    </row>
    <row r="43" spans="1:17">
      <c r="A43" s="150" t="s">
        <v>797</v>
      </c>
      <c r="B43" s="121">
        <v>465</v>
      </c>
      <c r="C43" s="120" t="s">
        <v>444</v>
      </c>
      <c r="D43" s="119">
        <v>465</v>
      </c>
      <c r="E43" s="121" t="str">
        <f t="shared" si="0"/>
        <v>滋賀100え465</v>
      </c>
      <c r="F43" s="122" t="s">
        <v>440</v>
      </c>
      <c r="G43" s="77" t="s">
        <v>598</v>
      </c>
      <c r="H43" s="135" t="s">
        <v>450</v>
      </c>
      <c r="I43" s="122" t="s">
        <v>451</v>
      </c>
      <c r="J43" s="122" t="s">
        <v>452</v>
      </c>
      <c r="K43" s="137" t="s">
        <v>475</v>
      </c>
      <c r="L43" s="132" t="s">
        <v>162</v>
      </c>
      <c r="M43" s="133" t="s">
        <v>163</v>
      </c>
      <c r="N43" s="118" t="s">
        <v>420</v>
      </c>
      <c r="O43" s="76" t="s">
        <v>602</v>
      </c>
      <c r="P43" s="156" t="s">
        <v>603</v>
      </c>
      <c r="Q43" s="157" t="s">
        <v>609</v>
      </c>
    </row>
    <row r="44" spans="1:17">
      <c r="A44" s="150" t="s">
        <v>798</v>
      </c>
      <c r="B44" s="121">
        <v>466</v>
      </c>
      <c r="C44" s="120" t="s">
        <v>444</v>
      </c>
      <c r="D44" s="119">
        <v>466</v>
      </c>
      <c r="E44" s="121" t="str">
        <f t="shared" si="0"/>
        <v>滋賀100え466</v>
      </c>
      <c r="F44" s="122" t="s">
        <v>440</v>
      </c>
      <c r="G44" s="77" t="s">
        <v>598</v>
      </c>
      <c r="H44" s="127" t="s">
        <v>450</v>
      </c>
      <c r="I44" s="122" t="s">
        <v>451</v>
      </c>
      <c r="J44" s="122" t="s">
        <v>453</v>
      </c>
      <c r="K44" s="137" t="s">
        <v>475</v>
      </c>
      <c r="L44" s="132" t="s">
        <v>162</v>
      </c>
      <c r="M44" s="133" t="s">
        <v>163</v>
      </c>
      <c r="N44" s="118" t="s">
        <v>420</v>
      </c>
      <c r="O44" s="76" t="s">
        <v>602</v>
      </c>
      <c r="P44" s="156" t="s">
        <v>603</v>
      </c>
      <c r="Q44" s="157" t="s">
        <v>609</v>
      </c>
    </row>
    <row r="45" spans="1:17">
      <c r="A45" s="150" t="s">
        <v>799</v>
      </c>
      <c r="B45" s="121">
        <v>478</v>
      </c>
      <c r="C45" s="120" t="s">
        <v>444</v>
      </c>
      <c r="D45" s="119">
        <v>478</v>
      </c>
      <c r="E45" s="121" t="str">
        <f t="shared" si="0"/>
        <v>滋賀100え478</v>
      </c>
      <c r="F45" s="122" t="s">
        <v>440</v>
      </c>
      <c r="G45" s="77" t="s">
        <v>598</v>
      </c>
      <c r="H45" s="127" t="s">
        <v>454</v>
      </c>
      <c r="I45" s="122" t="s">
        <v>455</v>
      </c>
      <c r="J45" s="122" t="s">
        <v>456</v>
      </c>
      <c r="K45" s="137" t="s">
        <v>475</v>
      </c>
      <c r="L45" s="132" t="s">
        <v>162</v>
      </c>
      <c r="M45" s="133" t="s">
        <v>163</v>
      </c>
      <c r="N45" s="118" t="s">
        <v>420</v>
      </c>
      <c r="O45" s="76" t="s">
        <v>602</v>
      </c>
      <c r="P45" s="156" t="s">
        <v>603</v>
      </c>
      <c r="Q45" s="157" t="s">
        <v>609</v>
      </c>
    </row>
    <row r="46" spans="1:17">
      <c r="A46" s="150" t="s">
        <v>800</v>
      </c>
      <c r="B46" s="121">
        <v>507</v>
      </c>
      <c r="C46" s="120" t="s">
        <v>444</v>
      </c>
      <c r="D46" s="119">
        <v>507</v>
      </c>
      <c r="E46" s="121" t="str">
        <f t="shared" si="0"/>
        <v>滋賀100え507</v>
      </c>
      <c r="F46" s="122" t="s">
        <v>440</v>
      </c>
      <c r="G46" s="77" t="s">
        <v>598</v>
      </c>
      <c r="H46" s="127" t="s">
        <v>457</v>
      </c>
      <c r="I46" s="122" t="s">
        <v>455</v>
      </c>
      <c r="J46" s="122" t="s">
        <v>458</v>
      </c>
      <c r="K46" s="137" t="s">
        <v>475</v>
      </c>
      <c r="L46" s="132" t="s">
        <v>162</v>
      </c>
      <c r="M46" s="133" t="s">
        <v>163</v>
      </c>
      <c r="N46" s="118" t="s">
        <v>420</v>
      </c>
      <c r="O46" s="76" t="s">
        <v>602</v>
      </c>
      <c r="P46" s="156" t="s">
        <v>603</v>
      </c>
      <c r="Q46" s="157" t="s">
        <v>609</v>
      </c>
    </row>
    <row r="47" spans="1:17">
      <c r="A47" s="150" t="s">
        <v>801</v>
      </c>
      <c r="B47" s="121">
        <v>508</v>
      </c>
      <c r="C47" s="120" t="s">
        <v>444</v>
      </c>
      <c r="D47" s="119">
        <v>508</v>
      </c>
      <c r="E47" s="121" t="str">
        <f t="shared" si="0"/>
        <v>滋賀100え508</v>
      </c>
      <c r="F47" s="122" t="s">
        <v>440</v>
      </c>
      <c r="G47" s="77" t="s">
        <v>598</v>
      </c>
      <c r="H47" s="127" t="s">
        <v>457</v>
      </c>
      <c r="I47" s="122" t="s">
        <v>455</v>
      </c>
      <c r="J47" s="122" t="s">
        <v>459</v>
      </c>
      <c r="K47" s="137" t="s">
        <v>475</v>
      </c>
      <c r="L47" s="132" t="s">
        <v>162</v>
      </c>
      <c r="M47" s="133" t="s">
        <v>163</v>
      </c>
      <c r="N47" s="118" t="s">
        <v>420</v>
      </c>
      <c r="O47" s="76" t="s">
        <v>602</v>
      </c>
      <c r="P47" s="156" t="s">
        <v>603</v>
      </c>
      <c r="Q47" s="157" t="s">
        <v>609</v>
      </c>
    </row>
    <row r="48" spans="1:17">
      <c r="A48" s="150" t="s">
        <v>802</v>
      </c>
      <c r="B48" s="121">
        <v>509</v>
      </c>
      <c r="C48" s="120" t="s">
        <v>444</v>
      </c>
      <c r="D48" s="119">
        <v>509</v>
      </c>
      <c r="E48" s="121" t="str">
        <f t="shared" si="0"/>
        <v>滋賀100え509</v>
      </c>
      <c r="F48" s="122" t="s">
        <v>440</v>
      </c>
      <c r="G48" s="77" t="s">
        <v>598</v>
      </c>
      <c r="H48" s="127" t="s">
        <v>457</v>
      </c>
      <c r="I48" s="122" t="s">
        <v>455</v>
      </c>
      <c r="J48" s="122" t="s">
        <v>460</v>
      </c>
      <c r="K48" s="137" t="s">
        <v>475</v>
      </c>
      <c r="L48" s="132" t="s">
        <v>162</v>
      </c>
      <c r="M48" s="133" t="s">
        <v>163</v>
      </c>
      <c r="N48" s="118" t="s">
        <v>420</v>
      </c>
      <c r="O48" s="76" t="s">
        <v>602</v>
      </c>
      <c r="P48" s="156" t="s">
        <v>603</v>
      </c>
      <c r="Q48" s="157" t="s">
        <v>609</v>
      </c>
    </row>
    <row r="49" spans="1:17">
      <c r="B49" s="121">
        <v>788</v>
      </c>
      <c r="C49" s="120" t="s">
        <v>435</v>
      </c>
      <c r="D49" s="119">
        <v>788</v>
      </c>
      <c r="E49" s="121" t="str">
        <f t="shared" si="0"/>
        <v>三河100え788</v>
      </c>
      <c r="F49" s="122" t="s">
        <v>461</v>
      </c>
      <c r="G49" s="77" t="s">
        <v>598</v>
      </c>
      <c r="H49" s="135" t="s">
        <v>462</v>
      </c>
      <c r="I49" s="122" t="s">
        <v>463</v>
      </c>
      <c r="J49" s="122" t="s">
        <v>464</v>
      </c>
      <c r="K49" s="137" t="s">
        <v>476</v>
      </c>
      <c r="L49" s="132" t="s">
        <v>162</v>
      </c>
      <c r="M49" s="133" t="s">
        <v>163</v>
      </c>
      <c r="N49" s="118" t="s">
        <v>420</v>
      </c>
      <c r="O49" s="76" t="s">
        <v>602</v>
      </c>
      <c r="P49" s="156" t="s">
        <v>603</v>
      </c>
      <c r="Q49" s="157" t="s">
        <v>612</v>
      </c>
    </row>
    <row r="50" spans="1:17">
      <c r="A50" s="150" t="s">
        <v>803</v>
      </c>
      <c r="B50" s="121">
        <v>453</v>
      </c>
      <c r="C50" s="120" t="s">
        <v>444</v>
      </c>
      <c r="D50" s="119">
        <v>453</v>
      </c>
      <c r="E50" s="121" t="str">
        <f t="shared" si="0"/>
        <v>滋賀100え453</v>
      </c>
      <c r="F50" s="122" t="s">
        <v>465</v>
      </c>
      <c r="G50" s="77" t="s">
        <v>598</v>
      </c>
      <c r="H50" s="135" t="s">
        <v>466</v>
      </c>
      <c r="I50" s="122" t="s">
        <v>467</v>
      </c>
      <c r="J50" s="122" t="s">
        <v>468</v>
      </c>
      <c r="K50" s="137" t="s">
        <v>477</v>
      </c>
      <c r="L50" s="132" t="s">
        <v>162</v>
      </c>
      <c r="M50" s="133" t="s">
        <v>163</v>
      </c>
      <c r="N50" s="118" t="s">
        <v>420</v>
      </c>
      <c r="O50" s="76" t="s">
        <v>602</v>
      </c>
      <c r="P50" s="156" t="s">
        <v>603</v>
      </c>
      <c r="Q50" s="157"/>
    </row>
    <row r="51" spans="1:17">
      <c r="B51" s="121">
        <v>460</v>
      </c>
      <c r="C51" s="120" t="s">
        <v>444</v>
      </c>
      <c r="D51" s="119">
        <v>460</v>
      </c>
      <c r="E51" s="121" t="str">
        <f t="shared" si="0"/>
        <v>滋賀100え460</v>
      </c>
      <c r="F51" s="122" t="s">
        <v>465</v>
      </c>
      <c r="G51" s="77" t="s">
        <v>598</v>
      </c>
      <c r="H51" s="135" t="s">
        <v>478</v>
      </c>
      <c r="I51" s="122" t="s">
        <v>479</v>
      </c>
      <c r="J51" s="122" t="s">
        <v>480</v>
      </c>
      <c r="K51" s="137" t="s">
        <v>481</v>
      </c>
      <c r="L51" s="132" t="s">
        <v>162</v>
      </c>
      <c r="M51" s="133" t="s">
        <v>163</v>
      </c>
      <c r="N51" s="118" t="s">
        <v>420</v>
      </c>
      <c r="O51" s="76" t="s">
        <v>602</v>
      </c>
      <c r="P51" s="156" t="s">
        <v>603</v>
      </c>
      <c r="Q51" s="157"/>
    </row>
    <row r="52" spans="1:17">
      <c r="B52" s="121">
        <v>869</v>
      </c>
      <c r="C52" s="120" t="s">
        <v>421</v>
      </c>
      <c r="D52" s="119">
        <v>869</v>
      </c>
      <c r="E52" s="121" t="str">
        <f t="shared" si="0"/>
        <v>三河100き869</v>
      </c>
      <c r="F52" s="122" t="s">
        <v>482</v>
      </c>
      <c r="G52" s="136" t="s">
        <v>209</v>
      </c>
      <c r="H52" s="135" t="s">
        <v>483</v>
      </c>
      <c r="I52" s="122" t="s">
        <v>484</v>
      </c>
      <c r="J52" s="122" t="s">
        <v>485</v>
      </c>
      <c r="K52" s="137" t="s">
        <v>486</v>
      </c>
      <c r="L52" s="132" t="s">
        <v>162</v>
      </c>
      <c r="M52" s="133" t="s">
        <v>163</v>
      </c>
      <c r="N52" s="118" t="s">
        <v>420</v>
      </c>
      <c r="O52" s="76" t="s">
        <v>602</v>
      </c>
      <c r="P52" s="156" t="s">
        <v>603</v>
      </c>
      <c r="Q52" s="157"/>
    </row>
    <row r="53" spans="1:17">
      <c r="A53" s="150" t="s">
        <v>804</v>
      </c>
      <c r="B53" s="121">
        <v>2855</v>
      </c>
      <c r="C53" s="120" t="s">
        <v>751</v>
      </c>
      <c r="D53" s="119">
        <v>2855</v>
      </c>
      <c r="E53" s="121" t="str">
        <f t="shared" si="0"/>
        <v>横浜100き2855</v>
      </c>
      <c r="F53" s="122" t="s">
        <v>422</v>
      </c>
      <c r="G53" s="135" t="s">
        <v>210</v>
      </c>
      <c r="H53" s="135" t="s">
        <v>416</v>
      </c>
      <c r="I53" s="122" t="s">
        <v>487</v>
      </c>
      <c r="J53" s="122" t="s">
        <v>488</v>
      </c>
      <c r="K53" s="137" t="s">
        <v>489</v>
      </c>
      <c r="L53" s="132" t="s">
        <v>162</v>
      </c>
      <c r="M53" s="133" t="s">
        <v>163</v>
      </c>
      <c r="N53" s="118" t="s">
        <v>420</v>
      </c>
      <c r="O53" s="76" t="s">
        <v>602</v>
      </c>
      <c r="P53" s="156" t="s">
        <v>603</v>
      </c>
      <c r="Q53" s="157"/>
    </row>
    <row r="54" spans="1:17">
      <c r="B54" s="121">
        <v>9086</v>
      </c>
      <c r="C54" s="120" t="s">
        <v>181</v>
      </c>
      <c r="D54" s="119">
        <v>9086</v>
      </c>
      <c r="E54" s="121" t="str">
        <f t="shared" si="0"/>
        <v>滋賀100あ9086</v>
      </c>
      <c r="F54" s="123" t="s">
        <v>407</v>
      </c>
      <c r="G54" s="136" t="s">
        <v>207</v>
      </c>
      <c r="H54" s="135" t="s">
        <v>236</v>
      </c>
      <c r="I54" s="122" t="s">
        <v>491</v>
      </c>
      <c r="J54" s="122" t="s">
        <v>237</v>
      </c>
      <c r="K54" s="137" t="s">
        <v>492</v>
      </c>
      <c r="L54" s="132" t="s">
        <v>162</v>
      </c>
      <c r="M54" s="133" t="s">
        <v>163</v>
      </c>
      <c r="N54" s="118" t="s">
        <v>420</v>
      </c>
      <c r="O54" s="76" t="s">
        <v>602</v>
      </c>
      <c r="P54" s="156" t="s">
        <v>603</v>
      </c>
      <c r="Q54" s="157"/>
    </row>
    <row r="55" spans="1:17">
      <c r="A55" s="150" t="s">
        <v>805</v>
      </c>
      <c r="B55" s="121">
        <v>7336</v>
      </c>
      <c r="C55" s="120" t="s">
        <v>175</v>
      </c>
      <c r="D55" s="119">
        <v>7336</v>
      </c>
      <c r="E55" s="121" t="str">
        <f t="shared" si="0"/>
        <v>滋賀100か7336</v>
      </c>
      <c r="F55" s="122" t="s">
        <v>422</v>
      </c>
      <c r="G55" s="136" t="s">
        <v>423</v>
      </c>
      <c r="H55" s="135" t="s">
        <v>493</v>
      </c>
      <c r="I55" s="122" t="s">
        <v>494</v>
      </c>
      <c r="J55" s="122" t="s">
        <v>495</v>
      </c>
      <c r="K55" s="137" t="s">
        <v>496</v>
      </c>
      <c r="L55" s="132" t="s">
        <v>162</v>
      </c>
      <c r="M55" s="133" t="s">
        <v>163</v>
      </c>
      <c r="N55" s="118" t="s">
        <v>420</v>
      </c>
      <c r="O55" s="76" t="s">
        <v>602</v>
      </c>
      <c r="P55" s="156" t="s">
        <v>603</v>
      </c>
      <c r="Q55" s="157"/>
    </row>
    <row r="56" spans="1:17">
      <c r="A56" s="150" t="s">
        <v>806</v>
      </c>
      <c r="B56" s="121">
        <v>7337</v>
      </c>
      <c r="C56" s="120" t="s">
        <v>175</v>
      </c>
      <c r="D56" s="119">
        <v>7337</v>
      </c>
      <c r="E56" s="121" t="str">
        <f t="shared" si="0"/>
        <v>滋賀100か7337</v>
      </c>
      <c r="F56" s="122" t="s">
        <v>422</v>
      </c>
      <c r="G56" s="136" t="s">
        <v>423</v>
      </c>
      <c r="H56" s="135" t="s">
        <v>493</v>
      </c>
      <c r="I56" s="122" t="s">
        <v>494</v>
      </c>
      <c r="J56" s="122" t="s">
        <v>497</v>
      </c>
      <c r="K56" s="137" t="s">
        <v>496</v>
      </c>
      <c r="L56" s="132" t="s">
        <v>162</v>
      </c>
      <c r="M56" s="133" t="s">
        <v>163</v>
      </c>
      <c r="N56" s="118" t="s">
        <v>420</v>
      </c>
      <c r="O56" s="76" t="s">
        <v>602</v>
      </c>
      <c r="P56" s="156" t="s">
        <v>603</v>
      </c>
      <c r="Q56" s="157"/>
    </row>
    <row r="57" spans="1:17">
      <c r="B57" s="121">
        <v>4409</v>
      </c>
      <c r="C57" s="120" t="s">
        <v>498</v>
      </c>
      <c r="D57" s="119">
        <v>4409</v>
      </c>
      <c r="E57" s="121" t="str">
        <f t="shared" si="0"/>
        <v>宮城100き4409</v>
      </c>
      <c r="F57" s="122" t="s">
        <v>422</v>
      </c>
      <c r="G57" s="136" t="s">
        <v>205</v>
      </c>
      <c r="H57" s="127" t="s">
        <v>231</v>
      </c>
      <c r="I57" s="122" t="s">
        <v>177</v>
      </c>
      <c r="J57" s="122" t="s">
        <v>232</v>
      </c>
      <c r="K57" s="137" t="s">
        <v>499</v>
      </c>
      <c r="L57" s="132" t="s">
        <v>162</v>
      </c>
      <c r="M57" s="133" t="s">
        <v>163</v>
      </c>
      <c r="N57" s="118" t="s">
        <v>420</v>
      </c>
      <c r="O57" s="76" t="s">
        <v>602</v>
      </c>
      <c r="P57" s="156" t="s">
        <v>606</v>
      </c>
      <c r="Q57" s="157"/>
    </row>
    <row r="58" spans="1:17">
      <c r="A58" s="150" t="s">
        <v>776</v>
      </c>
      <c r="B58" s="121">
        <v>4410</v>
      </c>
      <c r="C58" s="120" t="s">
        <v>498</v>
      </c>
      <c r="D58" s="119">
        <v>4410</v>
      </c>
      <c r="E58" s="121" t="str">
        <f t="shared" si="0"/>
        <v>宮城100き4410</v>
      </c>
      <c r="F58" s="122" t="s">
        <v>422</v>
      </c>
      <c r="G58" s="127" t="s">
        <v>210</v>
      </c>
      <c r="H58" s="127" t="s">
        <v>350</v>
      </c>
      <c r="I58" s="122" t="s">
        <v>487</v>
      </c>
      <c r="J58" s="122" t="s">
        <v>359</v>
      </c>
      <c r="K58" s="137" t="s">
        <v>496</v>
      </c>
      <c r="L58" s="132" t="s">
        <v>162</v>
      </c>
      <c r="M58" s="133" t="s">
        <v>163</v>
      </c>
      <c r="N58" s="118" t="s">
        <v>420</v>
      </c>
      <c r="O58" s="76" t="s">
        <v>602</v>
      </c>
      <c r="P58" s="156" t="s">
        <v>603</v>
      </c>
      <c r="Q58" s="157"/>
    </row>
    <row r="59" spans="1:17">
      <c r="B59" s="121">
        <v>4411</v>
      </c>
      <c r="C59" s="120" t="s">
        <v>498</v>
      </c>
      <c r="D59" s="119">
        <v>4411</v>
      </c>
      <c r="E59" s="121" t="str">
        <f t="shared" si="0"/>
        <v>宮城100き4411</v>
      </c>
      <c r="F59" s="122" t="s">
        <v>490</v>
      </c>
      <c r="G59" s="136" t="s">
        <v>208</v>
      </c>
      <c r="H59" s="127" t="s">
        <v>500</v>
      </c>
      <c r="I59" s="122" t="s">
        <v>501</v>
      </c>
      <c r="J59" s="122" t="s">
        <v>356</v>
      </c>
      <c r="K59" s="137" t="s">
        <v>496</v>
      </c>
      <c r="L59" s="132" t="s">
        <v>162</v>
      </c>
      <c r="M59" s="133" t="s">
        <v>163</v>
      </c>
      <c r="N59" s="118" t="s">
        <v>420</v>
      </c>
      <c r="O59" s="76" t="s">
        <v>602</v>
      </c>
      <c r="P59" s="156" t="s">
        <v>603</v>
      </c>
      <c r="Q59" s="157"/>
    </row>
    <row r="60" spans="1:17">
      <c r="B60" s="121">
        <v>2720</v>
      </c>
      <c r="C60" s="120" t="s">
        <v>502</v>
      </c>
      <c r="D60" s="119">
        <v>2720</v>
      </c>
      <c r="E60" s="121" t="str">
        <f t="shared" si="0"/>
        <v>宮城400あ2720</v>
      </c>
      <c r="F60" s="122" t="s">
        <v>503</v>
      </c>
      <c r="G60" s="136" t="s">
        <v>504</v>
      </c>
      <c r="H60" s="127" t="s">
        <v>233</v>
      </c>
      <c r="I60" s="122" t="s">
        <v>505</v>
      </c>
      <c r="J60" s="122" t="s">
        <v>506</v>
      </c>
      <c r="K60" s="137" t="s">
        <v>507</v>
      </c>
      <c r="L60" s="132" t="s">
        <v>162</v>
      </c>
      <c r="M60" s="133" t="s">
        <v>163</v>
      </c>
      <c r="N60" s="118" t="s">
        <v>420</v>
      </c>
      <c r="O60" s="76" t="s">
        <v>604</v>
      </c>
      <c r="P60" s="156" t="s">
        <v>603</v>
      </c>
      <c r="Q60" s="157"/>
    </row>
    <row r="61" spans="1:17">
      <c r="B61" s="121">
        <v>2721</v>
      </c>
      <c r="C61" s="120" t="s">
        <v>502</v>
      </c>
      <c r="D61" s="119">
        <v>2721</v>
      </c>
      <c r="E61" s="121" t="str">
        <f t="shared" si="0"/>
        <v>宮城400あ2721</v>
      </c>
      <c r="F61" s="122" t="s">
        <v>508</v>
      </c>
      <c r="G61" s="136" t="s">
        <v>512</v>
      </c>
      <c r="H61" s="127" t="s">
        <v>509</v>
      </c>
      <c r="I61" s="122" t="s">
        <v>510</v>
      </c>
      <c r="J61" s="122" t="s">
        <v>511</v>
      </c>
      <c r="K61" s="137" t="s">
        <v>513</v>
      </c>
      <c r="L61" s="132" t="s">
        <v>162</v>
      </c>
      <c r="M61" s="133" t="s">
        <v>163</v>
      </c>
      <c r="N61" s="118" t="s">
        <v>420</v>
      </c>
      <c r="O61" s="76" t="s">
        <v>604</v>
      </c>
      <c r="P61" s="156" t="s">
        <v>603</v>
      </c>
      <c r="Q61" s="157"/>
    </row>
    <row r="62" spans="1:17">
      <c r="A62" s="150" t="s">
        <v>807</v>
      </c>
      <c r="B62" s="121">
        <v>259</v>
      </c>
      <c r="C62" s="120" t="s">
        <v>514</v>
      </c>
      <c r="D62" s="119">
        <v>259</v>
      </c>
      <c r="E62" s="121" t="str">
        <f t="shared" si="0"/>
        <v>岐阜900さ259</v>
      </c>
      <c r="F62" s="122" t="s">
        <v>515</v>
      </c>
      <c r="G62" s="136" t="s">
        <v>516</v>
      </c>
      <c r="H62" s="127" t="s">
        <v>517</v>
      </c>
      <c r="I62" s="122" t="s">
        <v>518</v>
      </c>
      <c r="J62" s="122" t="s">
        <v>519</v>
      </c>
      <c r="K62" s="137" t="s">
        <v>520</v>
      </c>
      <c r="L62" s="132" t="s">
        <v>162</v>
      </c>
      <c r="M62" s="133" t="s">
        <v>163</v>
      </c>
      <c r="N62" s="118" t="s">
        <v>420</v>
      </c>
      <c r="O62" s="76" t="s">
        <v>605</v>
      </c>
      <c r="P62" s="156" t="s">
        <v>603</v>
      </c>
      <c r="Q62" s="157"/>
    </row>
    <row r="63" spans="1:17">
      <c r="B63" s="121">
        <v>2655</v>
      </c>
      <c r="C63" s="120" t="s">
        <v>521</v>
      </c>
      <c r="D63" s="119">
        <v>2655</v>
      </c>
      <c r="E63" s="121" t="str">
        <f t="shared" si="0"/>
        <v>習志野100い2655</v>
      </c>
      <c r="F63" s="122" t="s">
        <v>522</v>
      </c>
      <c r="G63" s="136" t="s">
        <v>523</v>
      </c>
      <c r="H63" s="127" t="s">
        <v>226</v>
      </c>
      <c r="I63" s="122" t="s">
        <v>524</v>
      </c>
      <c r="J63" s="122" t="s">
        <v>523</v>
      </c>
      <c r="K63" s="137" t="s">
        <v>525</v>
      </c>
      <c r="L63" s="132" t="s">
        <v>162</v>
      </c>
      <c r="M63" s="133" t="s">
        <v>163</v>
      </c>
      <c r="N63" s="118" t="s">
        <v>420</v>
      </c>
      <c r="O63" s="76" t="s">
        <v>604</v>
      </c>
      <c r="P63" s="156" t="s">
        <v>603</v>
      </c>
      <c r="Q63" s="157"/>
    </row>
    <row r="64" spans="1:17">
      <c r="A64" s="150" t="s">
        <v>808</v>
      </c>
      <c r="B64" s="121">
        <v>2661</v>
      </c>
      <c r="C64" s="153" t="s">
        <v>521</v>
      </c>
      <c r="D64" s="119">
        <v>2661</v>
      </c>
      <c r="E64" s="121" t="str">
        <f t="shared" si="0"/>
        <v>習志野100い2661</v>
      </c>
      <c r="F64" s="122" t="s">
        <v>529</v>
      </c>
      <c r="G64" s="136" t="s">
        <v>530</v>
      </c>
      <c r="H64" s="127" t="s">
        <v>531</v>
      </c>
      <c r="I64" s="122" t="s">
        <v>532</v>
      </c>
      <c r="J64" s="122" t="s">
        <v>533</v>
      </c>
      <c r="K64" s="137" t="s">
        <v>534</v>
      </c>
      <c r="L64" s="132" t="s">
        <v>162</v>
      </c>
      <c r="M64" s="133" t="s">
        <v>163</v>
      </c>
      <c r="N64" s="118" t="s">
        <v>420</v>
      </c>
      <c r="O64" s="76" t="s">
        <v>604</v>
      </c>
      <c r="P64" s="156" t="s">
        <v>603</v>
      </c>
      <c r="Q64" s="157"/>
    </row>
    <row r="65" spans="1:17">
      <c r="A65" s="150" t="s">
        <v>809</v>
      </c>
      <c r="B65" s="121">
        <v>2663</v>
      </c>
      <c r="C65" s="154" t="s">
        <v>521</v>
      </c>
      <c r="D65" s="119">
        <v>2663</v>
      </c>
      <c r="E65" s="121" t="str">
        <f t="shared" si="0"/>
        <v>習志野100い2663</v>
      </c>
      <c r="F65" s="122" t="s">
        <v>522</v>
      </c>
      <c r="G65" s="136" t="s">
        <v>523</v>
      </c>
      <c r="H65" s="135" t="s">
        <v>418</v>
      </c>
      <c r="I65" s="122" t="s">
        <v>524</v>
      </c>
      <c r="J65" s="122" t="s">
        <v>535</v>
      </c>
      <c r="K65" s="137" t="s">
        <v>534</v>
      </c>
      <c r="L65" s="132" t="s">
        <v>162</v>
      </c>
      <c r="M65" s="133" t="s">
        <v>163</v>
      </c>
      <c r="N65" s="118" t="s">
        <v>420</v>
      </c>
      <c r="O65" s="76" t="s">
        <v>604</v>
      </c>
      <c r="P65" s="156" t="s">
        <v>603</v>
      </c>
      <c r="Q65" s="157"/>
    </row>
    <row r="66" spans="1:17">
      <c r="A66" s="150" t="s">
        <v>810</v>
      </c>
      <c r="B66" s="104">
        <v>720</v>
      </c>
      <c r="C66" s="155" t="s">
        <v>749</v>
      </c>
      <c r="D66" s="103">
        <v>720</v>
      </c>
      <c r="E66" s="104" t="str">
        <f t="shared" si="0"/>
        <v>横浜101あ720</v>
      </c>
      <c r="F66" s="105" t="s">
        <v>422</v>
      </c>
      <c r="G66" s="138" t="s">
        <v>536</v>
      </c>
      <c r="H66" s="139" t="s">
        <v>537</v>
      </c>
      <c r="I66" s="105" t="s">
        <v>538</v>
      </c>
      <c r="J66" s="105" t="s">
        <v>539</v>
      </c>
      <c r="K66" s="140" t="s">
        <v>534</v>
      </c>
      <c r="L66" s="132" t="s">
        <v>162</v>
      </c>
      <c r="M66" s="133" t="s">
        <v>163</v>
      </c>
      <c r="N66" s="118" t="s">
        <v>420</v>
      </c>
      <c r="O66" s="76" t="s">
        <v>604</v>
      </c>
      <c r="P66" s="156" t="s">
        <v>603</v>
      </c>
      <c r="Q66" s="157"/>
    </row>
    <row r="67" spans="1:17">
      <c r="A67" s="150" t="s">
        <v>811</v>
      </c>
      <c r="B67" s="104">
        <v>719</v>
      </c>
      <c r="C67" s="155" t="s">
        <v>749</v>
      </c>
      <c r="D67" s="103">
        <v>719</v>
      </c>
      <c r="E67" s="104" t="str">
        <f t="shared" si="0"/>
        <v>横浜101あ719</v>
      </c>
      <c r="F67" s="105" t="s">
        <v>522</v>
      </c>
      <c r="G67" s="138" t="s">
        <v>530</v>
      </c>
      <c r="H67" s="139" t="s">
        <v>541</v>
      </c>
      <c r="I67" s="105" t="s">
        <v>532</v>
      </c>
      <c r="J67" s="105" t="s">
        <v>540</v>
      </c>
      <c r="K67" s="140" t="s">
        <v>534</v>
      </c>
      <c r="L67" s="132" t="s">
        <v>162</v>
      </c>
      <c r="M67" s="133" t="s">
        <v>163</v>
      </c>
      <c r="N67" s="118" t="s">
        <v>420</v>
      </c>
      <c r="O67" s="76" t="s">
        <v>604</v>
      </c>
      <c r="P67" s="156" t="s">
        <v>603</v>
      </c>
      <c r="Q67" s="157"/>
    </row>
    <row r="68" spans="1:17">
      <c r="B68" s="121">
        <v>2767</v>
      </c>
      <c r="C68" s="154" t="s">
        <v>521</v>
      </c>
      <c r="D68" s="119">
        <v>2767</v>
      </c>
      <c r="E68" s="121" t="str">
        <f t="shared" si="0"/>
        <v>習志野100い2767</v>
      </c>
      <c r="F68" s="122" t="s">
        <v>422</v>
      </c>
      <c r="G68" s="136" t="s">
        <v>317</v>
      </c>
      <c r="H68" s="135" t="s">
        <v>318</v>
      </c>
      <c r="I68" s="122" t="s">
        <v>542</v>
      </c>
      <c r="J68" s="122" t="s">
        <v>319</v>
      </c>
      <c r="K68" s="137" t="s">
        <v>543</v>
      </c>
      <c r="L68" s="132" t="s">
        <v>162</v>
      </c>
      <c r="M68" s="133" t="s">
        <v>163</v>
      </c>
      <c r="N68" s="118" t="s">
        <v>420</v>
      </c>
      <c r="O68" s="76" t="s">
        <v>604</v>
      </c>
      <c r="P68" s="156" t="s">
        <v>603</v>
      </c>
      <c r="Q68" s="157"/>
    </row>
    <row r="69" spans="1:17">
      <c r="B69" s="147">
        <v>4659</v>
      </c>
      <c r="C69" s="149" t="s">
        <v>544</v>
      </c>
      <c r="D69" s="148">
        <v>4659</v>
      </c>
      <c r="E69" s="147" t="str">
        <f t="shared" si="0"/>
        <v>習志野400た4659</v>
      </c>
      <c r="F69" s="122" t="s">
        <v>508</v>
      </c>
      <c r="G69" s="127" t="s">
        <v>545</v>
      </c>
      <c r="H69" s="127" t="s">
        <v>215</v>
      </c>
      <c r="I69" s="122" t="s">
        <v>546</v>
      </c>
      <c r="J69" s="122" t="s">
        <v>547</v>
      </c>
      <c r="K69" s="128" t="s">
        <v>548</v>
      </c>
      <c r="L69" s="147" t="s">
        <v>549</v>
      </c>
      <c r="M69" s="149" t="s">
        <v>550</v>
      </c>
      <c r="N69" s="134"/>
      <c r="O69" s="76" t="s">
        <v>604</v>
      </c>
      <c r="P69" s="156" t="s">
        <v>603</v>
      </c>
      <c r="Q69" s="157"/>
    </row>
    <row r="70" spans="1:17">
      <c r="B70" s="121">
        <v>8124</v>
      </c>
      <c r="C70" s="152" t="s">
        <v>544</v>
      </c>
      <c r="D70" s="119">
        <v>8124</v>
      </c>
      <c r="E70" s="121" t="str">
        <f t="shared" si="0"/>
        <v>習志野400た8124</v>
      </c>
      <c r="F70" s="122" t="s">
        <v>508</v>
      </c>
      <c r="G70" s="136" t="s">
        <v>545</v>
      </c>
      <c r="H70" s="127" t="s">
        <v>215</v>
      </c>
      <c r="I70" s="122" t="s">
        <v>546</v>
      </c>
      <c r="J70" s="122" t="s">
        <v>551</v>
      </c>
      <c r="K70" s="128" t="s">
        <v>548</v>
      </c>
      <c r="L70" s="132" t="s">
        <v>162</v>
      </c>
      <c r="M70" s="133" t="s">
        <v>163</v>
      </c>
      <c r="N70" s="118" t="s">
        <v>420</v>
      </c>
      <c r="O70" s="76" t="s">
        <v>604</v>
      </c>
      <c r="P70" s="156" t="s">
        <v>603</v>
      </c>
      <c r="Q70" s="157"/>
    </row>
    <row r="71" spans="1:17">
      <c r="A71" s="150" t="s">
        <v>812</v>
      </c>
      <c r="B71" s="104">
        <v>177</v>
      </c>
      <c r="C71" s="151" t="s">
        <v>552</v>
      </c>
      <c r="D71" s="103">
        <v>177</v>
      </c>
      <c r="E71" s="104" t="str">
        <f t="shared" si="0"/>
        <v>三河100い177</v>
      </c>
      <c r="F71" s="105" t="s">
        <v>490</v>
      </c>
      <c r="G71" s="138" t="s">
        <v>553</v>
      </c>
      <c r="H71" s="134" t="s">
        <v>399</v>
      </c>
      <c r="I71" s="105" t="s">
        <v>554</v>
      </c>
      <c r="J71" s="105" t="s">
        <v>555</v>
      </c>
      <c r="K71" s="141" t="s">
        <v>556</v>
      </c>
      <c r="L71" s="132" t="s">
        <v>162</v>
      </c>
      <c r="M71" s="133" t="s">
        <v>163</v>
      </c>
      <c r="N71" s="118" t="s">
        <v>420</v>
      </c>
      <c r="O71" s="76" t="s">
        <v>602</v>
      </c>
      <c r="P71" s="156" t="s">
        <v>603</v>
      </c>
      <c r="Q71" s="157"/>
    </row>
    <row r="72" spans="1:17">
      <c r="A72" s="150" t="s">
        <v>813</v>
      </c>
      <c r="B72" s="104">
        <v>162</v>
      </c>
      <c r="C72" s="151" t="s">
        <v>552</v>
      </c>
      <c r="D72" s="103">
        <v>162</v>
      </c>
      <c r="E72" s="104" t="str">
        <f t="shared" si="0"/>
        <v>三河100い162</v>
      </c>
      <c r="F72" s="105" t="s">
        <v>422</v>
      </c>
      <c r="G72" s="138" t="s">
        <v>557</v>
      </c>
      <c r="H72" s="134" t="s">
        <v>558</v>
      </c>
      <c r="I72" s="105" t="s">
        <v>559</v>
      </c>
      <c r="J72" s="105" t="s">
        <v>560</v>
      </c>
      <c r="K72" s="141" t="s">
        <v>561</v>
      </c>
      <c r="L72" s="132" t="s">
        <v>162</v>
      </c>
      <c r="M72" s="133" t="s">
        <v>163</v>
      </c>
      <c r="N72" s="118" t="s">
        <v>420</v>
      </c>
      <c r="O72" s="76" t="s">
        <v>602</v>
      </c>
      <c r="P72" s="156" t="s">
        <v>603</v>
      </c>
      <c r="Q72" s="157"/>
    </row>
    <row r="73" spans="1:17">
      <c r="A73" s="150" t="s">
        <v>814</v>
      </c>
      <c r="B73" s="104">
        <v>163</v>
      </c>
      <c r="C73" s="151" t="s">
        <v>552</v>
      </c>
      <c r="D73" s="103">
        <v>163</v>
      </c>
      <c r="E73" s="104" t="str">
        <f t="shared" si="0"/>
        <v>三河100い163</v>
      </c>
      <c r="F73" s="105" t="s">
        <v>422</v>
      </c>
      <c r="G73" s="138" t="s">
        <v>562</v>
      </c>
      <c r="H73" s="134" t="s">
        <v>563</v>
      </c>
      <c r="I73" s="105" t="s">
        <v>564</v>
      </c>
      <c r="J73" s="105" t="s">
        <v>565</v>
      </c>
      <c r="K73" s="141" t="s">
        <v>561</v>
      </c>
      <c r="L73" s="132" t="s">
        <v>162</v>
      </c>
      <c r="M73" s="133" t="s">
        <v>163</v>
      </c>
      <c r="N73" s="118" t="s">
        <v>420</v>
      </c>
      <c r="O73" s="76" t="s">
        <v>602</v>
      </c>
      <c r="P73" s="156" t="s">
        <v>603</v>
      </c>
      <c r="Q73" s="157"/>
    </row>
    <row r="74" spans="1:17">
      <c r="B74" s="121">
        <v>2830</v>
      </c>
      <c r="C74" s="152" t="s">
        <v>521</v>
      </c>
      <c r="D74" s="119">
        <v>2830</v>
      </c>
      <c r="E74" s="121" t="str">
        <f t="shared" si="0"/>
        <v>習志野100い2830</v>
      </c>
      <c r="F74" s="122" t="s">
        <v>490</v>
      </c>
      <c r="G74" s="136" t="s">
        <v>566</v>
      </c>
      <c r="H74" s="127" t="s">
        <v>348</v>
      </c>
      <c r="I74" s="122" t="s">
        <v>567</v>
      </c>
      <c r="J74" s="122" t="s">
        <v>568</v>
      </c>
      <c r="K74" s="141" t="s">
        <v>561</v>
      </c>
      <c r="L74" s="132" t="s">
        <v>162</v>
      </c>
      <c r="M74" s="133" t="s">
        <v>163</v>
      </c>
      <c r="N74" s="118" t="s">
        <v>420</v>
      </c>
      <c r="O74" s="76" t="s">
        <v>602</v>
      </c>
      <c r="P74" s="156" t="s">
        <v>603</v>
      </c>
      <c r="Q74" s="157"/>
    </row>
    <row r="75" spans="1:17">
      <c r="A75" s="150" t="s">
        <v>815</v>
      </c>
      <c r="B75" s="121">
        <v>2897</v>
      </c>
      <c r="C75" s="152" t="s">
        <v>521</v>
      </c>
      <c r="D75" s="119">
        <v>2897</v>
      </c>
      <c r="E75" s="121" t="str">
        <f t="shared" si="0"/>
        <v>習志野100い2897</v>
      </c>
      <c r="F75" s="122" t="s">
        <v>422</v>
      </c>
      <c r="G75" s="136" t="s">
        <v>317</v>
      </c>
      <c r="H75" s="127" t="s">
        <v>569</v>
      </c>
      <c r="I75" s="122" t="s">
        <v>570</v>
      </c>
      <c r="J75" s="122" t="s">
        <v>571</v>
      </c>
      <c r="K75" s="148"/>
      <c r="L75" s="132" t="s">
        <v>162</v>
      </c>
      <c r="M75" s="133" t="s">
        <v>163</v>
      </c>
      <c r="N75" s="118" t="s">
        <v>420</v>
      </c>
      <c r="O75" s="76" t="s">
        <v>602</v>
      </c>
      <c r="P75" s="156" t="s">
        <v>603</v>
      </c>
      <c r="Q75" s="157"/>
    </row>
    <row r="76" spans="1:17">
      <c r="A76" s="150" t="s">
        <v>816</v>
      </c>
      <c r="B76" s="121">
        <v>1053</v>
      </c>
      <c r="C76" s="152" t="s">
        <v>435</v>
      </c>
      <c r="D76" s="119">
        <v>1053</v>
      </c>
      <c r="E76" s="121" t="str">
        <f t="shared" si="0"/>
        <v>三河100え1053</v>
      </c>
      <c r="F76" s="122" t="s">
        <v>465</v>
      </c>
      <c r="G76" s="77" t="s">
        <v>598</v>
      </c>
      <c r="H76" s="127" t="s">
        <v>572</v>
      </c>
      <c r="I76" s="122" t="s">
        <v>573</v>
      </c>
      <c r="J76" s="122" t="s">
        <v>574</v>
      </c>
      <c r="K76" s="128" t="s">
        <v>575</v>
      </c>
      <c r="L76" s="131" t="s">
        <v>346</v>
      </c>
      <c r="M76" s="130" t="s">
        <v>353</v>
      </c>
      <c r="N76" s="106" t="s">
        <v>596</v>
      </c>
      <c r="O76" s="76" t="s">
        <v>602</v>
      </c>
      <c r="P76" s="156" t="s">
        <v>603</v>
      </c>
      <c r="Q76" s="157" t="s">
        <v>609</v>
      </c>
    </row>
    <row r="77" spans="1:17">
      <c r="A77" s="150" t="s">
        <v>817</v>
      </c>
      <c r="B77" s="121">
        <v>830</v>
      </c>
      <c r="C77" s="152" t="s">
        <v>435</v>
      </c>
      <c r="D77" s="119">
        <v>830</v>
      </c>
      <c r="E77" s="121" t="str">
        <f t="shared" si="0"/>
        <v>三河100え830</v>
      </c>
      <c r="F77" s="122" t="s">
        <v>576</v>
      </c>
      <c r="G77" s="77" t="s">
        <v>598</v>
      </c>
      <c r="H77" s="127" t="s">
        <v>577</v>
      </c>
      <c r="I77" s="122" t="s">
        <v>578</v>
      </c>
      <c r="J77" s="122" t="s">
        <v>579</v>
      </c>
      <c r="K77" s="128" t="s">
        <v>580</v>
      </c>
      <c r="L77" s="131" t="s">
        <v>346</v>
      </c>
      <c r="M77" s="130" t="s">
        <v>353</v>
      </c>
      <c r="N77" s="106" t="s">
        <v>596</v>
      </c>
      <c r="O77" s="76" t="s">
        <v>602</v>
      </c>
      <c r="P77" s="156" t="s">
        <v>603</v>
      </c>
      <c r="Q77" s="157"/>
    </row>
    <row r="78" spans="1:17">
      <c r="A78" s="150" t="s">
        <v>818</v>
      </c>
      <c r="B78" s="121">
        <v>705</v>
      </c>
      <c r="C78" s="152" t="s">
        <v>435</v>
      </c>
      <c r="D78" s="119">
        <v>705</v>
      </c>
      <c r="E78" s="121" t="str">
        <f t="shared" si="0"/>
        <v>三河100え705</v>
      </c>
      <c r="F78" s="122" t="s">
        <v>445</v>
      </c>
      <c r="G78" s="77" t="s">
        <v>598</v>
      </c>
      <c r="H78" s="127" t="s">
        <v>581</v>
      </c>
      <c r="I78" s="122" t="s">
        <v>447</v>
      </c>
      <c r="J78" s="122" t="s">
        <v>582</v>
      </c>
      <c r="K78" s="128" t="s">
        <v>474</v>
      </c>
      <c r="L78" s="131" t="s">
        <v>346</v>
      </c>
      <c r="M78" s="130" t="s">
        <v>353</v>
      </c>
      <c r="N78" s="106" t="s">
        <v>596</v>
      </c>
      <c r="O78" s="76" t="s">
        <v>602</v>
      </c>
      <c r="P78" s="156" t="s">
        <v>603</v>
      </c>
      <c r="Q78" s="157" t="s">
        <v>609</v>
      </c>
    </row>
    <row r="79" spans="1:17">
      <c r="A79" s="150" t="s">
        <v>819</v>
      </c>
      <c r="B79" s="121">
        <v>720</v>
      </c>
      <c r="C79" s="152" t="s">
        <v>435</v>
      </c>
      <c r="D79" s="119">
        <v>720</v>
      </c>
      <c r="E79" s="121" t="str">
        <f t="shared" si="0"/>
        <v>三河100え720</v>
      </c>
      <c r="F79" s="122" t="s">
        <v>445</v>
      </c>
      <c r="G79" s="77" t="s">
        <v>598</v>
      </c>
      <c r="H79" s="127" t="s">
        <v>236</v>
      </c>
      <c r="I79" s="122" t="s">
        <v>447</v>
      </c>
      <c r="J79" s="122" t="s">
        <v>583</v>
      </c>
      <c r="K79" s="128" t="s">
        <v>474</v>
      </c>
      <c r="L79" s="131" t="s">
        <v>346</v>
      </c>
      <c r="M79" s="130" t="s">
        <v>353</v>
      </c>
      <c r="N79" s="106" t="s">
        <v>596</v>
      </c>
      <c r="O79" s="76" t="s">
        <v>602</v>
      </c>
      <c r="P79" s="156" t="s">
        <v>603</v>
      </c>
      <c r="Q79" s="157" t="s">
        <v>609</v>
      </c>
    </row>
    <row r="80" spans="1:17">
      <c r="A80" s="150" t="s">
        <v>820</v>
      </c>
      <c r="B80" s="104">
        <v>774</v>
      </c>
      <c r="C80" s="151" t="s">
        <v>435</v>
      </c>
      <c r="D80" s="103">
        <v>774</v>
      </c>
      <c r="E80" s="104" t="str">
        <f t="shared" si="0"/>
        <v>三河100え774</v>
      </c>
      <c r="F80" s="105" t="s">
        <v>445</v>
      </c>
      <c r="G80" s="77" t="s">
        <v>598</v>
      </c>
      <c r="H80" s="141" t="s">
        <v>563</v>
      </c>
      <c r="I80" s="105" t="s">
        <v>447</v>
      </c>
      <c r="J80" s="105" t="s">
        <v>584</v>
      </c>
      <c r="K80" s="141" t="s">
        <v>474</v>
      </c>
      <c r="L80" s="131" t="s">
        <v>346</v>
      </c>
      <c r="M80" s="130" t="s">
        <v>353</v>
      </c>
      <c r="N80" s="106" t="s">
        <v>596</v>
      </c>
      <c r="O80" s="76" t="s">
        <v>602</v>
      </c>
      <c r="P80" s="156" t="s">
        <v>603</v>
      </c>
      <c r="Q80" s="157" t="s">
        <v>609</v>
      </c>
    </row>
    <row r="81" spans="1:17">
      <c r="A81" s="150" t="s">
        <v>821</v>
      </c>
      <c r="B81" s="104">
        <v>817</v>
      </c>
      <c r="C81" s="151" t="s">
        <v>435</v>
      </c>
      <c r="D81" s="103">
        <v>817</v>
      </c>
      <c r="E81" s="104" t="str">
        <f t="shared" si="0"/>
        <v>三河100え817</v>
      </c>
      <c r="F81" s="105" t="s">
        <v>445</v>
      </c>
      <c r="G81" s="77" t="s">
        <v>598</v>
      </c>
      <c r="H81" s="134" t="s">
        <v>352</v>
      </c>
      <c r="I81" s="105" t="s">
        <v>447</v>
      </c>
      <c r="J81" s="105" t="s">
        <v>585</v>
      </c>
      <c r="K81" s="141" t="s">
        <v>474</v>
      </c>
      <c r="L81" s="131" t="s">
        <v>346</v>
      </c>
      <c r="M81" s="130" t="s">
        <v>353</v>
      </c>
      <c r="N81" s="106" t="s">
        <v>596</v>
      </c>
      <c r="O81" s="76" t="s">
        <v>602</v>
      </c>
      <c r="P81" s="156" t="s">
        <v>603</v>
      </c>
      <c r="Q81" s="157" t="s">
        <v>609</v>
      </c>
    </row>
    <row r="82" spans="1:17">
      <c r="B82" s="104">
        <v>747</v>
      </c>
      <c r="C82" s="151" t="s">
        <v>435</v>
      </c>
      <c r="D82" s="103">
        <v>747</v>
      </c>
      <c r="E82" s="104" t="str">
        <f t="shared" si="0"/>
        <v>三河100え747</v>
      </c>
      <c r="F82" s="105" t="s">
        <v>431</v>
      </c>
      <c r="G82" s="77" t="s">
        <v>598</v>
      </c>
      <c r="H82" s="134" t="s">
        <v>586</v>
      </c>
      <c r="I82" s="105" t="s">
        <v>587</v>
      </c>
      <c r="J82" s="105" t="s">
        <v>588</v>
      </c>
      <c r="K82" s="141" t="s">
        <v>481</v>
      </c>
      <c r="L82" s="131" t="s">
        <v>346</v>
      </c>
      <c r="M82" s="130" t="s">
        <v>353</v>
      </c>
      <c r="N82" s="106" t="s">
        <v>596</v>
      </c>
      <c r="O82" s="76" t="s">
        <v>602</v>
      </c>
      <c r="P82" s="156" t="s">
        <v>603</v>
      </c>
      <c r="Q82" s="157"/>
    </row>
    <row r="83" spans="1:17">
      <c r="B83" s="104">
        <v>928</v>
      </c>
      <c r="C83" s="151" t="s">
        <v>435</v>
      </c>
      <c r="D83" s="103">
        <v>928</v>
      </c>
      <c r="E83" s="104" t="str">
        <f t="shared" si="0"/>
        <v>三河100え928</v>
      </c>
      <c r="F83" s="105" t="s">
        <v>445</v>
      </c>
      <c r="G83" s="77" t="s">
        <v>598</v>
      </c>
      <c r="H83" s="134" t="s">
        <v>589</v>
      </c>
      <c r="I83" s="105" t="s">
        <v>590</v>
      </c>
      <c r="J83" s="105" t="s">
        <v>591</v>
      </c>
      <c r="K83" s="141" t="s">
        <v>481</v>
      </c>
      <c r="L83" s="131" t="s">
        <v>346</v>
      </c>
      <c r="M83" s="130" t="s">
        <v>353</v>
      </c>
      <c r="N83" s="106" t="s">
        <v>596</v>
      </c>
      <c r="O83" s="76" t="s">
        <v>602</v>
      </c>
      <c r="P83" s="156" t="s">
        <v>603</v>
      </c>
      <c r="Q83" s="157"/>
    </row>
    <row r="84" spans="1:17">
      <c r="B84" s="104">
        <v>929</v>
      </c>
      <c r="C84" s="151" t="s">
        <v>435</v>
      </c>
      <c r="D84" s="103">
        <v>929</v>
      </c>
      <c r="E84" s="104" t="str">
        <f t="shared" si="0"/>
        <v>三河100え929</v>
      </c>
      <c r="F84" s="105" t="s">
        <v>436</v>
      </c>
      <c r="G84" s="77" t="s">
        <v>598</v>
      </c>
      <c r="H84" s="134" t="s">
        <v>592</v>
      </c>
      <c r="I84" s="105" t="s">
        <v>593</v>
      </c>
      <c r="J84" s="105" t="s">
        <v>594</v>
      </c>
      <c r="K84" s="141" t="s">
        <v>481</v>
      </c>
      <c r="L84" s="131" t="s">
        <v>346</v>
      </c>
      <c r="M84" s="130" t="s">
        <v>353</v>
      </c>
      <c r="N84" s="106" t="s">
        <v>596</v>
      </c>
      <c r="O84" s="76" t="s">
        <v>602</v>
      </c>
      <c r="P84" s="156" t="s">
        <v>603</v>
      </c>
      <c r="Q84" s="157"/>
    </row>
    <row r="85" spans="1:17">
      <c r="A85" s="150" t="s">
        <v>822</v>
      </c>
      <c r="B85" s="156">
        <v>4488</v>
      </c>
      <c r="C85" s="244" t="s">
        <v>742</v>
      </c>
      <c r="D85" s="245">
        <v>4488</v>
      </c>
      <c r="E85" s="156" t="str">
        <f t="shared" si="0"/>
        <v>横浜100か4488</v>
      </c>
      <c r="F85" s="156" t="s">
        <v>743</v>
      </c>
      <c r="G85" s="134" t="s">
        <v>744</v>
      </c>
      <c r="H85" s="134" t="s">
        <v>745</v>
      </c>
      <c r="I85" s="156" t="s">
        <v>746</v>
      </c>
      <c r="J85" s="156" t="s">
        <v>747</v>
      </c>
      <c r="K85" s="156"/>
      <c r="L85" s="156" t="s">
        <v>162</v>
      </c>
      <c r="M85" s="156" t="s">
        <v>748</v>
      </c>
      <c r="N85" s="134" t="s">
        <v>420</v>
      </c>
      <c r="O85" s="134" t="s">
        <v>602</v>
      </c>
      <c r="P85" s="156" t="s">
        <v>603</v>
      </c>
      <c r="Q85" s="156"/>
    </row>
    <row r="86" spans="1:17">
      <c r="A86" s="150" t="s">
        <v>810</v>
      </c>
      <c r="B86" s="156">
        <v>2664</v>
      </c>
      <c r="C86" s="155" t="s">
        <v>521</v>
      </c>
      <c r="D86" s="103">
        <v>2664</v>
      </c>
      <c r="E86" s="104" t="str">
        <f>C86&amp;D86</f>
        <v>習志野100い2664</v>
      </c>
      <c r="F86" s="105" t="s">
        <v>422</v>
      </c>
      <c r="G86" s="138" t="s">
        <v>536</v>
      </c>
      <c r="H86" s="139" t="s">
        <v>537</v>
      </c>
      <c r="I86" s="105" t="s">
        <v>538</v>
      </c>
      <c r="J86" s="105" t="s">
        <v>539</v>
      </c>
      <c r="K86" s="140" t="s">
        <v>534</v>
      </c>
      <c r="L86" s="132" t="s">
        <v>162</v>
      </c>
      <c r="M86" s="133" t="s">
        <v>163</v>
      </c>
      <c r="N86" s="118" t="s">
        <v>420</v>
      </c>
      <c r="O86" s="76" t="s">
        <v>604</v>
      </c>
      <c r="P86" s="156" t="s">
        <v>603</v>
      </c>
      <c r="Q86" s="156"/>
    </row>
    <row r="87" spans="1:17">
      <c r="A87" s="150" t="s">
        <v>811</v>
      </c>
      <c r="B87" s="156">
        <v>2666</v>
      </c>
      <c r="C87" s="155" t="s">
        <v>521</v>
      </c>
      <c r="D87" s="103">
        <v>2666</v>
      </c>
      <c r="E87" s="104" t="str">
        <f>C87&amp;D87</f>
        <v>習志野100い2666</v>
      </c>
      <c r="F87" s="105" t="s">
        <v>522</v>
      </c>
      <c r="G87" s="138" t="s">
        <v>530</v>
      </c>
      <c r="H87" s="139" t="s">
        <v>541</v>
      </c>
      <c r="I87" s="105" t="s">
        <v>532</v>
      </c>
      <c r="J87" s="105" t="s">
        <v>540</v>
      </c>
      <c r="K87" s="140" t="s">
        <v>534</v>
      </c>
      <c r="L87" s="132" t="s">
        <v>162</v>
      </c>
      <c r="M87" s="133" t="s">
        <v>163</v>
      </c>
      <c r="N87" s="118" t="s">
        <v>420</v>
      </c>
      <c r="O87" s="76" t="s">
        <v>604</v>
      </c>
      <c r="P87" s="156" t="s">
        <v>603</v>
      </c>
      <c r="Q87" s="156"/>
    </row>
    <row r="88" spans="1:17">
      <c r="A88" s="150" t="s">
        <v>771</v>
      </c>
      <c r="B88" s="143">
        <v>419</v>
      </c>
      <c r="C88" s="144" t="s">
        <v>184</v>
      </c>
      <c r="D88" s="145">
        <v>419</v>
      </c>
      <c r="E88" s="145" t="s">
        <v>321</v>
      </c>
      <c r="F88" s="77" t="s">
        <v>176</v>
      </c>
      <c r="G88" s="77" t="s">
        <v>210</v>
      </c>
      <c r="H88" s="77" t="s">
        <v>229</v>
      </c>
      <c r="I88" s="76" t="s">
        <v>187</v>
      </c>
      <c r="J88" s="76" t="s">
        <v>230</v>
      </c>
      <c r="K88" s="89" t="s">
        <v>188</v>
      </c>
      <c r="L88" s="131" t="s">
        <v>162</v>
      </c>
      <c r="M88" s="130" t="s">
        <v>163</v>
      </c>
      <c r="N88" s="76" t="s">
        <v>420</v>
      </c>
      <c r="O88" s="76" t="s">
        <v>602</v>
      </c>
      <c r="P88" s="156" t="s">
        <v>603</v>
      </c>
      <c r="Q88" s="157"/>
    </row>
    <row r="89" spans="1:17">
      <c r="B89" s="104">
        <v>7515</v>
      </c>
      <c r="C89" s="102" t="s">
        <v>406</v>
      </c>
      <c r="D89" s="103">
        <v>7515</v>
      </c>
      <c r="E89" s="104" t="str">
        <f>C89&amp;D89</f>
        <v>岐阜100き7515</v>
      </c>
      <c r="F89" s="106" t="s">
        <v>407</v>
      </c>
      <c r="G89" s="77" t="s">
        <v>208</v>
      </c>
      <c r="H89" s="105" t="s">
        <v>416</v>
      </c>
      <c r="I89" s="105" t="s">
        <v>355</v>
      </c>
      <c r="J89" s="105" t="s">
        <v>417</v>
      </c>
      <c r="K89" s="106" t="s">
        <v>196</v>
      </c>
      <c r="L89" s="131" t="s">
        <v>162</v>
      </c>
      <c r="M89" s="130" t="s">
        <v>163</v>
      </c>
      <c r="N89" s="76" t="s">
        <v>420</v>
      </c>
      <c r="O89" s="76" t="s">
        <v>602</v>
      </c>
      <c r="P89" s="156" t="s">
        <v>603</v>
      </c>
      <c r="Q89" s="157"/>
    </row>
    <row r="90" spans="1:17">
      <c r="A90" s="150" t="s">
        <v>804</v>
      </c>
      <c r="B90" s="121">
        <v>1020</v>
      </c>
      <c r="C90" s="120" t="s">
        <v>421</v>
      </c>
      <c r="D90" s="119">
        <v>1020</v>
      </c>
      <c r="E90" s="121" t="str">
        <f>C90&amp;D90</f>
        <v>三河100き1020</v>
      </c>
      <c r="F90" s="122" t="s">
        <v>422</v>
      </c>
      <c r="G90" s="135" t="s">
        <v>210</v>
      </c>
      <c r="H90" s="135" t="s">
        <v>416</v>
      </c>
      <c r="I90" s="122" t="s">
        <v>487</v>
      </c>
      <c r="J90" s="122" t="s">
        <v>488</v>
      </c>
      <c r="K90" s="137" t="s">
        <v>489</v>
      </c>
      <c r="L90" s="132" t="s">
        <v>162</v>
      </c>
      <c r="M90" s="133" t="s">
        <v>163</v>
      </c>
      <c r="N90" s="118" t="s">
        <v>420</v>
      </c>
      <c r="O90" s="118" t="s">
        <v>602</v>
      </c>
      <c r="P90" s="147" t="s">
        <v>603</v>
      </c>
      <c r="Q90" s="247"/>
    </row>
    <row r="91" spans="1:17">
      <c r="A91" s="150" t="s">
        <v>812</v>
      </c>
      <c r="B91" s="156">
        <v>3336</v>
      </c>
      <c r="C91" s="244" t="s">
        <v>752</v>
      </c>
      <c r="D91" s="245">
        <v>3336</v>
      </c>
      <c r="E91" s="121" t="str">
        <f t="shared" ref="E91:E108" si="1">C91&amp;D91</f>
        <v>宮城100い3336</v>
      </c>
      <c r="F91" s="105" t="s">
        <v>490</v>
      </c>
      <c r="G91" s="138" t="s">
        <v>553</v>
      </c>
      <c r="H91" s="134" t="s">
        <v>399</v>
      </c>
      <c r="I91" s="134" t="s">
        <v>753</v>
      </c>
      <c r="J91" s="134" t="s">
        <v>754</v>
      </c>
      <c r="K91" s="141" t="s">
        <v>556</v>
      </c>
      <c r="L91" s="248" t="s">
        <v>162</v>
      </c>
      <c r="M91" s="249" t="s">
        <v>755</v>
      </c>
      <c r="N91" s="118" t="s">
        <v>420</v>
      </c>
      <c r="O91" s="118" t="s">
        <v>602</v>
      </c>
      <c r="P91" s="147" t="s">
        <v>603</v>
      </c>
      <c r="Q91" s="156"/>
    </row>
    <row r="92" spans="1:17">
      <c r="B92" s="156">
        <v>3376</v>
      </c>
      <c r="C92" s="244" t="s">
        <v>752</v>
      </c>
      <c r="D92" s="245">
        <v>3376</v>
      </c>
      <c r="E92" s="121" t="str">
        <f t="shared" si="1"/>
        <v>宮城100い3376</v>
      </c>
      <c r="F92" s="122" t="s">
        <v>490</v>
      </c>
      <c r="G92" s="136" t="s">
        <v>566</v>
      </c>
      <c r="H92" s="127" t="s">
        <v>348</v>
      </c>
      <c r="I92" s="122" t="s">
        <v>567</v>
      </c>
      <c r="J92" s="122" t="s">
        <v>568</v>
      </c>
      <c r="K92" s="141" t="s">
        <v>561</v>
      </c>
      <c r="L92" s="248" t="s">
        <v>162</v>
      </c>
      <c r="M92" s="249" t="s">
        <v>755</v>
      </c>
      <c r="N92" s="118" t="s">
        <v>420</v>
      </c>
      <c r="O92" s="118" t="s">
        <v>602</v>
      </c>
      <c r="P92" s="147" t="s">
        <v>603</v>
      </c>
      <c r="Q92" s="156"/>
    </row>
    <row r="93" spans="1:17">
      <c r="A93" s="150" t="s">
        <v>779</v>
      </c>
      <c r="B93" s="156">
        <v>5370</v>
      </c>
      <c r="C93" s="244" t="s">
        <v>498</v>
      </c>
      <c r="D93" s="245">
        <v>5370</v>
      </c>
      <c r="E93" s="121" t="str">
        <f t="shared" si="1"/>
        <v>宮城100き5370</v>
      </c>
      <c r="F93" s="77" t="s">
        <v>203</v>
      </c>
      <c r="G93" s="77" t="s">
        <v>208</v>
      </c>
      <c r="H93" s="77" t="s">
        <v>351</v>
      </c>
      <c r="I93" s="77" t="s">
        <v>174</v>
      </c>
      <c r="J93" s="77" t="s">
        <v>360</v>
      </c>
      <c r="K93" s="158" t="s">
        <v>173</v>
      </c>
      <c r="L93" s="248" t="s">
        <v>162</v>
      </c>
      <c r="M93" s="249" t="s">
        <v>755</v>
      </c>
      <c r="N93" s="118" t="s">
        <v>420</v>
      </c>
      <c r="O93" s="118" t="s">
        <v>602</v>
      </c>
      <c r="P93" s="147" t="s">
        <v>603</v>
      </c>
      <c r="Q93" s="157" t="s">
        <v>607</v>
      </c>
    </row>
    <row r="94" spans="1:17">
      <c r="A94" s="150" t="s">
        <v>823</v>
      </c>
      <c r="B94" s="156">
        <v>184</v>
      </c>
      <c r="C94" s="244" t="s">
        <v>756</v>
      </c>
      <c r="D94" s="245">
        <v>184</v>
      </c>
      <c r="E94" s="121" t="str">
        <f t="shared" si="1"/>
        <v>宮城100け184</v>
      </c>
      <c r="F94" s="134" t="s">
        <v>422</v>
      </c>
      <c r="G94" s="134" t="s">
        <v>757</v>
      </c>
      <c r="H94" s="134" t="s">
        <v>758</v>
      </c>
      <c r="I94" s="134" t="s">
        <v>759</v>
      </c>
      <c r="J94" s="134" t="s">
        <v>760</v>
      </c>
      <c r="K94" s="134" t="s">
        <v>761</v>
      </c>
      <c r="L94" s="248" t="s">
        <v>162</v>
      </c>
      <c r="M94" s="249" t="s">
        <v>755</v>
      </c>
      <c r="N94" s="118" t="s">
        <v>420</v>
      </c>
      <c r="O94" s="118" t="s">
        <v>602</v>
      </c>
      <c r="P94" s="147" t="s">
        <v>603</v>
      </c>
      <c r="Q94" s="157" t="s">
        <v>607</v>
      </c>
    </row>
    <row r="95" spans="1:17">
      <c r="A95" s="150" t="s">
        <v>773</v>
      </c>
      <c r="B95" s="156">
        <v>5885</v>
      </c>
      <c r="C95" s="244" t="s">
        <v>498</v>
      </c>
      <c r="D95" s="245">
        <v>5885</v>
      </c>
      <c r="E95" s="121" t="str">
        <f t="shared" si="1"/>
        <v>宮城100き5885</v>
      </c>
      <c r="F95" s="77" t="s">
        <v>203</v>
      </c>
      <c r="G95" s="77" t="s">
        <v>208</v>
      </c>
      <c r="H95" s="77" t="s">
        <v>240</v>
      </c>
      <c r="I95" s="77" t="s">
        <v>174</v>
      </c>
      <c r="J95" s="76" t="s">
        <v>242</v>
      </c>
      <c r="K95" s="158" t="s">
        <v>173</v>
      </c>
      <c r="L95" s="131" t="s">
        <v>162</v>
      </c>
      <c r="M95" s="249" t="s">
        <v>755</v>
      </c>
      <c r="N95" s="76" t="s">
        <v>597</v>
      </c>
      <c r="O95" s="76" t="s">
        <v>602</v>
      </c>
      <c r="P95" s="156" t="s">
        <v>603</v>
      </c>
      <c r="Q95" s="157" t="s">
        <v>607</v>
      </c>
    </row>
    <row r="96" spans="1:17">
      <c r="B96" s="156"/>
      <c r="C96" s="244"/>
      <c r="D96" s="245"/>
      <c r="E96" s="121" t="str">
        <f t="shared" si="1"/>
        <v/>
      </c>
      <c r="F96" s="134"/>
      <c r="G96" s="134"/>
      <c r="H96" s="134"/>
      <c r="I96" s="134"/>
      <c r="J96" s="134"/>
      <c r="K96" s="134"/>
      <c r="L96" s="249"/>
      <c r="M96" s="249"/>
      <c r="N96" s="134"/>
      <c r="O96" s="134"/>
      <c r="P96" s="156"/>
      <c r="Q96" s="156"/>
    </row>
    <row r="97" spans="2:17">
      <c r="B97" s="156"/>
      <c r="C97" s="244"/>
      <c r="D97" s="245"/>
      <c r="E97" s="121" t="str">
        <f t="shared" si="1"/>
        <v/>
      </c>
      <c r="F97" s="134"/>
      <c r="G97" s="134"/>
      <c r="H97" s="134"/>
      <c r="I97" s="134"/>
      <c r="J97" s="134"/>
      <c r="K97" s="134"/>
      <c r="L97" s="249"/>
      <c r="M97" s="249"/>
      <c r="N97" s="134"/>
      <c r="O97" s="134"/>
      <c r="P97" s="156"/>
      <c r="Q97" s="156"/>
    </row>
    <row r="98" spans="2:17">
      <c r="B98" s="156"/>
      <c r="C98" s="244"/>
      <c r="D98" s="245"/>
      <c r="E98" s="121" t="str">
        <f t="shared" si="1"/>
        <v/>
      </c>
      <c r="F98" s="134"/>
      <c r="G98" s="134"/>
      <c r="H98" s="134"/>
      <c r="I98" s="134"/>
      <c r="J98" s="134"/>
      <c r="K98" s="134"/>
      <c r="L98" s="249"/>
      <c r="M98" s="249"/>
      <c r="N98" s="134"/>
      <c r="O98" s="134"/>
      <c r="P98" s="156"/>
      <c r="Q98" s="156"/>
    </row>
    <row r="99" spans="2:17">
      <c r="B99" s="156"/>
      <c r="C99" s="244"/>
      <c r="D99" s="245"/>
      <c r="E99" s="121" t="str">
        <f t="shared" si="1"/>
        <v/>
      </c>
      <c r="F99" s="134"/>
      <c r="G99" s="134"/>
      <c r="H99" s="134"/>
      <c r="I99" s="134"/>
      <c r="J99" s="134"/>
      <c r="K99" s="134"/>
      <c r="L99" s="249"/>
      <c r="M99" s="249"/>
      <c r="N99" s="134"/>
      <c r="O99" s="134"/>
      <c r="P99" s="156"/>
      <c r="Q99" s="156"/>
    </row>
    <row r="100" spans="2:17">
      <c r="B100" s="156"/>
      <c r="C100" s="244"/>
      <c r="D100" s="245"/>
      <c r="E100" s="121" t="str">
        <f t="shared" si="1"/>
        <v/>
      </c>
      <c r="F100" s="134"/>
      <c r="G100" s="134"/>
      <c r="H100" s="134"/>
      <c r="I100" s="134"/>
      <c r="J100" s="134"/>
      <c r="K100" s="134"/>
      <c r="L100" s="249"/>
      <c r="M100" s="249"/>
      <c r="N100" s="134"/>
      <c r="O100" s="134"/>
      <c r="P100" s="156"/>
      <c r="Q100" s="156"/>
    </row>
    <row r="101" spans="2:17">
      <c r="B101" s="156"/>
      <c r="C101" s="244"/>
      <c r="D101" s="245"/>
      <c r="E101" s="121" t="str">
        <f t="shared" si="1"/>
        <v/>
      </c>
      <c r="F101" s="134"/>
      <c r="G101" s="134"/>
      <c r="H101" s="134"/>
      <c r="I101" s="134"/>
      <c r="J101" s="134"/>
      <c r="K101" s="134"/>
      <c r="L101" s="249"/>
      <c r="M101" s="249"/>
      <c r="N101" s="134"/>
      <c r="O101" s="134"/>
      <c r="P101" s="156"/>
      <c r="Q101" s="156"/>
    </row>
    <row r="102" spans="2:17">
      <c r="B102" s="156"/>
      <c r="C102" s="244"/>
      <c r="D102" s="245"/>
      <c r="E102" s="121" t="str">
        <f t="shared" si="1"/>
        <v/>
      </c>
      <c r="F102" s="134"/>
      <c r="G102" s="134"/>
      <c r="H102" s="134"/>
      <c r="I102" s="134"/>
      <c r="J102" s="134"/>
      <c r="K102" s="134"/>
      <c r="L102" s="249"/>
      <c r="M102" s="249"/>
      <c r="N102" s="134"/>
      <c r="O102" s="134"/>
      <c r="P102" s="156"/>
      <c r="Q102" s="156"/>
    </row>
    <row r="103" spans="2:17">
      <c r="B103" s="156"/>
      <c r="C103" s="244"/>
      <c r="D103" s="245"/>
      <c r="E103" s="121" t="str">
        <f t="shared" si="1"/>
        <v/>
      </c>
      <c r="F103" s="134"/>
      <c r="G103" s="134"/>
      <c r="H103" s="134"/>
      <c r="I103" s="134"/>
      <c r="J103" s="134"/>
      <c r="K103" s="134"/>
      <c r="L103" s="249"/>
      <c r="M103" s="249"/>
      <c r="N103" s="134"/>
      <c r="O103" s="134"/>
      <c r="P103" s="156"/>
      <c r="Q103" s="156"/>
    </row>
    <row r="104" spans="2:17">
      <c r="B104" s="156"/>
      <c r="C104" s="244"/>
      <c r="D104" s="245"/>
      <c r="E104" s="121" t="str">
        <f t="shared" si="1"/>
        <v/>
      </c>
      <c r="F104" s="134"/>
      <c r="G104" s="134"/>
      <c r="H104" s="134"/>
      <c r="I104" s="134"/>
      <c r="J104" s="134"/>
      <c r="K104" s="134"/>
      <c r="L104" s="249"/>
      <c r="M104" s="249"/>
      <c r="N104" s="134"/>
      <c r="O104" s="134"/>
      <c r="P104" s="156"/>
      <c r="Q104" s="156"/>
    </row>
    <row r="105" spans="2:17">
      <c r="B105" s="156"/>
      <c r="C105" s="244"/>
      <c r="D105" s="245"/>
      <c r="E105" s="121" t="str">
        <f t="shared" si="1"/>
        <v/>
      </c>
      <c r="F105" s="134"/>
      <c r="G105" s="134"/>
      <c r="H105" s="134"/>
      <c r="I105" s="134"/>
      <c r="J105" s="134"/>
      <c r="K105" s="134"/>
      <c r="L105" s="249"/>
      <c r="M105" s="249"/>
      <c r="N105" s="134"/>
      <c r="O105" s="134"/>
      <c r="P105" s="156"/>
      <c r="Q105" s="156"/>
    </row>
    <row r="106" spans="2:17">
      <c r="B106" s="156"/>
      <c r="C106" s="244"/>
      <c r="D106" s="245"/>
      <c r="E106" s="121" t="str">
        <f t="shared" si="1"/>
        <v/>
      </c>
      <c r="F106" s="134"/>
      <c r="G106" s="134"/>
      <c r="H106" s="134"/>
      <c r="I106" s="134"/>
      <c r="J106" s="134"/>
      <c r="K106" s="134"/>
      <c r="L106" s="249"/>
      <c r="M106" s="249"/>
      <c r="N106" s="134"/>
      <c r="O106" s="134"/>
      <c r="P106" s="156"/>
      <c r="Q106" s="156"/>
    </row>
    <row r="107" spans="2:17">
      <c r="B107" s="156"/>
      <c r="C107" s="244"/>
      <c r="D107" s="245"/>
      <c r="E107" s="121" t="str">
        <f t="shared" si="1"/>
        <v/>
      </c>
      <c r="F107" s="134"/>
      <c r="G107" s="134"/>
      <c r="H107" s="134"/>
      <c r="I107" s="134"/>
      <c r="J107" s="134"/>
      <c r="K107" s="134"/>
      <c r="L107" s="249"/>
      <c r="M107" s="249"/>
      <c r="N107" s="134"/>
      <c r="O107" s="134"/>
      <c r="P107" s="156"/>
      <c r="Q107" s="156"/>
    </row>
    <row r="108" spans="2:17">
      <c r="B108" s="156"/>
      <c r="C108" s="244"/>
      <c r="D108" s="245"/>
      <c r="E108" s="104" t="str">
        <f t="shared" si="1"/>
        <v/>
      </c>
      <c r="F108" s="134"/>
      <c r="G108" s="134"/>
      <c r="H108" s="134"/>
      <c r="I108" s="134"/>
      <c r="J108" s="134"/>
      <c r="K108" s="134"/>
      <c r="L108" s="249"/>
      <c r="M108" s="249"/>
      <c r="N108" s="134"/>
      <c r="O108" s="134"/>
      <c r="P108" s="156"/>
      <c r="Q108" s="156"/>
    </row>
    <row r="110" spans="2:17">
      <c r="Q110" s="246" t="s">
        <v>614</v>
      </c>
    </row>
    <row r="111" spans="2:17">
      <c r="Q111" s="150" t="s">
        <v>615</v>
      </c>
    </row>
    <row r="112" spans="2:17">
      <c r="Q112" s="150" t="s">
        <v>616</v>
      </c>
    </row>
    <row r="113" spans="17:17">
      <c r="Q113" s="150" t="s">
        <v>621</v>
      </c>
    </row>
    <row r="114" spans="17:17">
      <c r="Q114" s="150" t="s">
        <v>618</v>
      </c>
    </row>
    <row r="115" spans="17:17">
      <c r="Q115" s="150" t="s">
        <v>619</v>
      </c>
    </row>
    <row r="116" spans="17:17">
      <c r="Q116" s="150" t="s">
        <v>617</v>
      </c>
    </row>
    <row r="117" spans="17:17">
      <c r="Q117" s="150" t="s">
        <v>620</v>
      </c>
    </row>
  </sheetData>
  <autoFilter ref="B1:Q108">
    <filterColumn colId="1" showButton="0"/>
  </autoFilter>
  <mergeCells count="1">
    <mergeCell ref="C1:D1"/>
  </mergeCells>
  <phoneticPr fontId="1"/>
  <printOptions horizontalCentered="1"/>
  <pageMargins left="0" right="0" top="0.98425196850393704" bottom="0.98425196850393704" header="0.51181102362204722" footer="0.51181102362204722"/>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sheetPr codeName="Sheet2"/>
  <dimension ref="A1:AO40"/>
  <sheetViews>
    <sheetView workbookViewId="0">
      <selection activeCell="C20" sqref="C20"/>
    </sheetView>
  </sheetViews>
  <sheetFormatPr defaultRowHeight="13.5"/>
  <cols>
    <col min="1" max="1" width="16.375" style="97" bestFit="1" customWidth="1"/>
    <col min="2" max="3" width="17.625" style="97" bestFit="1" customWidth="1"/>
    <col min="4" max="4" width="16.375" style="97" bestFit="1" customWidth="1"/>
    <col min="5" max="7" width="17.625" style="97" bestFit="1" customWidth="1"/>
    <col min="8" max="9" width="16.375" style="97" bestFit="1" customWidth="1"/>
    <col min="10" max="11" width="9" style="97"/>
    <col min="12" max="13" width="17.625" style="97" bestFit="1" customWidth="1"/>
    <col min="14" max="18" width="9" style="97"/>
    <col min="19" max="19" width="17.625" style="97" bestFit="1" customWidth="1"/>
    <col min="20" max="23" width="9" style="97"/>
    <col min="24" max="24" width="17.625" style="97" bestFit="1" customWidth="1"/>
    <col min="25" max="25" width="9" style="97"/>
    <col min="26" max="26" width="15.375" style="97" bestFit="1" customWidth="1"/>
    <col min="27" max="28" width="9" style="97"/>
    <col min="29" max="29" width="17.625" style="97" bestFit="1" customWidth="1"/>
    <col min="30" max="31" width="9" style="97"/>
    <col min="32" max="34" width="16.375" style="97" bestFit="1" customWidth="1"/>
    <col min="35" max="35" width="17.625" style="97" bestFit="1" customWidth="1"/>
    <col min="36" max="37" width="9" style="97"/>
    <col min="38" max="38" width="17.625" style="97" bestFit="1" customWidth="1"/>
    <col min="39" max="39" width="16.375" style="97" bestFit="1" customWidth="1"/>
    <col min="40" max="41" width="17.625" style="97" bestFit="1" customWidth="1"/>
    <col min="42" max="16384" width="9" style="97"/>
  </cols>
  <sheetData>
    <row r="1" spans="1:41">
      <c r="A1" s="95">
        <v>247</v>
      </c>
      <c r="B1" s="95">
        <v>419</v>
      </c>
      <c r="C1" s="95">
        <v>575</v>
      </c>
      <c r="D1" s="95">
        <v>576</v>
      </c>
      <c r="E1" s="95">
        <v>579</v>
      </c>
      <c r="F1" s="95">
        <v>581</v>
      </c>
      <c r="G1" s="95">
        <v>1309</v>
      </c>
      <c r="H1" s="95">
        <v>4096</v>
      </c>
      <c r="I1" s="95">
        <v>4845</v>
      </c>
      <c r="J1" s="95">
        <v>5476</v>
      </c>
      <c r="K1" s="95">
        <v>5595</v>
      </c>
      <c r="L1" s="95">
        <v>5608</v>
      </c>
      <c r="M1" s="95">
        <v>5609</v>
      </c>
      <c r="N1" s="95">
        <v>5664</v>
      </c>
      <c r="O1" s="95">
        <v>5910</v>
      </c>
      <c r="P1" s="96">
        <v>5911</v>
      </c>
      <c r="Q1" s="95">
        <v>6079</v>
      </c>
      <c r="R1" s="95">
        <v>6094</v>
      </c>
      <c r="S1" s="95">
        <v>6108</v>
      </c>
      <c r="T1" s="96">
        <v>6114</v>
      </c>
      <c r="U1" s="96">
        <v>6148</v>
      </c>
      <c r="V1" s="96">
        <v>6173</v>
      </c>
      <c r="W1" s="95">
        <v>6312</v>
      </c>
      <c r="X1" s="95">
        <v>6569</v>
      </c>
      <c r="Y1" s="95">
        <v>7132</v>
      </c>
      <c r="Z1" s="95">
        <v>7532</v>
      </c>
      <c r="AA1" s="95">
        <v>7533</v>
      </c>
      <c r="AB1" s="95">
        <v>7550</v>
      </c>
      <c r="AC1" s="95">
        <v>8217</v>
      </c>
      <c r="AD1" s="95">
        <v>8270</v>
      </c>
      <c r="AE1" s="95">
        <v>8690</v>
      </c>
      <c r="AF1" s="95">
        <v>8934</v>
      </c>
      <c r="AG1" s="95">
        <v>8935</v>
      </c>
      <c r="AH1" s="95">
        <v>9181</v>
      </c>
      <c r="AI1" s="95">
        <v>9208</v>
      </c>
      <c r="AJ1" s="95">
        <v>9230</v>
      </c>
      <c r="AK1" s="95">
        <v>9444</v>
      </c>
      <c r="AL1" s="95">
        <v>9543</v>
      </c>
      <c r="AM1" s="95">
        <v>9575</v>
      </c>
      <c r="AN1" s="95">
        <v>9606</v>
      </c>
      <c r="AO1" s="95">
        <v>9756</v>
      </c>
    </row>
    <row r="2" spans="1:41">
      <c r="A2" s="97" t="s">
        <v>315</v>
      </c>
      <c r="B2" s="93" t="s">
        <v>391</v>
      </c>
      <c r="C2" s="97" t="s">
        <v>315</v>
      </c>
      <c r="D2" s="97" t="s">
        <v>315</v>
      </c>
      <c r="E2" s="97" t="s">
        <v>315</v>
      </c>
      <c r="F2" s="97" t="s">
        <v>315</v>
      </c>
      <c r="G2" s="97" t="s">
        <v>315</v>
      </c>
      <c r="H2" s="93" t="s">
        <v>387</v>
      </c>
      <c r="I2" s="97" t="s">
        <v>315</v>
      </c>
      <c r="L2" s="93" t="s">
        <v>392</v>
      </c>
      <c r="M2" s="93" t="s">
        <v>392</v>
      </c>
      <c r="S2" s="97" t="s">
        <v>384</v>
      </c>
      <c r="X2" s="93" t="s">
        <v>388</v>
      </c>
      <c r="Z2" s="97" t="s">
        <v>385</v>
      </c>
      <c r="AC2" s="93" t="s">
        <v>384</v>
      </c>
      <c r="AF2" s="97" t="s">
        <v>386</v>
      </c>
      <c r="AG2" s="97" t="s">
        <v>386</v>
      </c>
      <c r="AH2" s="97" t="s">
        <v>386</v>
      </c>
      <c r="AI2" s="97" t="s">
        <v>315</v>
      </c>
      <c r="AL2" s="93" t="s">
        <v>386</v>
      </c>
      <c r="AM2" s="93" t="s">
        <v>389</v>
      </c>
      <c r="AN2" s="93" t="s">
        <v>389</v>
      </c>
      <c r="AO2" s="93" t="s">
        <v>390</v>
      </c>
    </row>
    <row r="3" spans="1:41">
      <c r="G3" s="95"/>
    </row>
    <row r="4" spans="1:41">
      <c r="A4" s="98">
        <v>40852</v>
      </c>
      <c r="B4" s="94">
        <v>40921</v>
      </c>
      <c r="C4" s="94">
        <v>40866</v>
      </c>
      <c r="D4" s="94">
        <v>40866</v>
      </c>
      <c r="E4" s="94">
        <v>40859</v>
      </c>
      <c r="F4" s="94">
        <v>40866</v>
      </c>
      <c r="G4" s="98">
        <v>40866</v>
      </c>
      <c r="H4" s="98">
        <v>40774</v>
      </c>
      <c r="I4" s="98">
        <v>40852</v>
      </c>
      <c r="L4" s="98">
        <v>40922</v>
      </c>
      <c r="M4" s="98">
        <v>40922</v>
      </c>
      <c r="S4" s="98">
        <v>40874</v>
      </c>
      <c r="X4" s="94">
        <v>40887</v>
      </c>
      <c r="Z4" s="98">
        <v>40789</v>
      </c>
      <c r="AC4" s="98">
        <v>40859</v>
      </c>
      <c r="AF4" s="98">
        <v>40817</v>
      </c>
      <c r="AG4" s="98">
        <v>40817</v>
      </c>
      <c r="AH4" s="98">
        <v>40824</v>
      </c>
      <c r="AI4" s="98">
        <v>40866</v>
      </c>
      <c r="AL4" s="94">
        <v>40838</v>
      </c>
      <c r="AM4" s="98">
        <v>40880</v>
      </c>
      <c r="AN4" s="98">
        <v>40901</v>
      </c>
      <c r="AO4" s="98">
        <v>40922</v>
      </c>
    </row>
    <row r="5" spans="1:41">
      <c r="A5" s="97">
        <v>984801</v>
      </c>
      <c r="B5" s="97">
        <v>873601</v>
      </c>
      <c r="C5" s="97">
        <v>483712</v>
      </c>
      <c r="D5" s="97">
        <v>304599</v>
      </c>
      <c r="E5" s="97">
        <v>344893</v>
      </c>
      <c r="F5" s="97">
        <v>252893</v>
      </c>
      <c r="G5" s="95">
        <v>856214</v>
      </c>
      <c r="H5" s="97">
        <v>316600</v>
      </c>
      <c r="I5" s="97">
        <v>651415</v>
      </c>
      <c r="L5" s="97">
        <v>315822</v>
      </c>
      <c r="M5" s="97">
        <v>272305</v>
      </c>
      <c r="S5" s="97">
        <v>490305</v>
      </c>
      <c r="X5" s="97">
        <v>549925</v>
      </c>
      <c r="Z5" s="97">
        <v>558026</v>
      </c>
      <c r="AC5" s="97">
        <v>1121388</v>
      </c>
      <c r="AF5" s="97">
        <v>102997</v>
      </c>
      <c r="AG5" s="97">
        <v>92742</v>
      </c>
      <c r="AH5" s="97">
        <v>348925</v>
      </c>
      <c r="AI5" s="97">
        <v>111143</v>
      </c>
      <c r="AL5" s="97">
        <v>686328</v>
      </c>
      <c r="AM5" s="97">
        <v>465263</v>
      </c>
      <c r="AN5" s="97">
        <v>140882</v>
      </c>
      <c r="AO5" s="97">
        <v>199067</v>
      </c>
    </row>
    <row r="6" spans="1:41">
      <c r="G6" s="95"/>
    </row>
    <row r="7" spans="1:41">
      <c r="A7" s="98">
        <v>40852</v>
      </c>
      <c r="B7" s="94">
        <v>40831</v>
      </c>
      <c r="C7" s="94">
        <v>40866</v>
      </c>
      <c r="D7" s="94">
        <v>40866</v>
      </c>
      <c r="E7" s="94">
        <v>40859</v>
      </c>
      <c r="F7" s="94">
        <v>40866</v>
      </c>
      <c r="G7" s="98">
        <v>40866</v>
      </c>
      <c r="H7" s="98">
        <v>40684</v>
      </c>
      <c r="I7" s="98">
        <v>40852</v>
      </c>
      <c r="L7" s="98">
        <v>40831</v>
      </c>
      <c r="M7" s="98">
        <v>40922</v>
      </c>
      <c r="S7" s="98">
        <v>40874</v>
      </c>
      <c r="X7" s="94">
        <v>40887</v>
      </c>
      <c r="Z7" s="98">
        <v>40789</v>
      </c>
      <c r="AC7" s="98">
        <v>40859</v>
      </c>
      <c r="AF7" s="98">
        <v>40817</v>
      </c>
      <c r="AG7" s="98">
        <v>40817</v>
      </c>
      <c r="AH7" s="98">
        <v>40824</v>
      </c>
      <c r="AI7" s="98">
        <v>40866</v>
      </c>
      <c r="AL7" s="94">
        <v>40746</v>
      </c>
      <c r="AM7" s="98">
        <v>40880</v>
      </c>
      <c r="AN7" s="98">
        <v>40901</v>
      </c>
      <c r="AO7" s="98">
        <v>40922</v>
      </c>
    </row>
    <row r="8" spans="1:41">
      <c r="A8" s="97">
        <v>984801</v>
      </c>
      <c r="B8" s="97">
        <v>862930</v>
      </c>
      <c r="C8" s="97">
        <v>483712</v>
      </c>
      <c r="D8" s="97">
        <v>304599</v>
      </c>
      <c r="E8" s="97">
        <v>344893</v>
      </c>
      <c r="F8" s="97">
        <v>252893</v>
      </c>
      <c r="G8" s="95">
        <v>856214</v>
      </c>
      <c r="H8" s="97">
        <v>306428</v>
      </c>
      <c r="I8" s="97">
        <v>651415</v>
      </c>
      <c r="L8" s="97">
        <v>292446</v>
      </c>
      <c r="M8" s="97">
        <v>272305</v>
      </c>
      <c r="S8" s="97">
        <v>490305</v>
      </c>
      <c r="X8" s="97">
        <v>549925</v>
      </c>
      <c r="Z8" s="97">
        <v>558026</v>
      </c>
      <c r="AC8" s="97">
        <v>1121388</v>
      </c>
      <c r="AF8" s="97">
        <v>102997</v>
      </c>
      <c r="AG8" s="97">
        <v>92742</v>
      </c>
      <c r="AH8" s="97">
        <v>348925</v>
      </c>
      <c r="AI8" s="97">
        <v>111143</v>
      </c>
      <c r="AL8" s="97">
        <v>684618</v>
      </c>
      <c r="AM8" s="97">
        <v>465263</v>
      </c>
      <c r="AN8" s="97">
        <v>140882</v>
      </c>
      <c r="AO8" s="97">
        <v>199067</v>
      </c>
    </row>
    <row r="9" spans="1:41">
      <c r="A9" s="98">
        <v>40775</v>
      </c>
      <c r="B9" s="98">
        <v>40739</v>
      </c>
      <c r="G9" s="98">
        <v>40775</v>
      </c>
      <c r="H9" s="98">
        <v>40593</v>
      </c>
      <c r="I9" s="98">
        <v>40761</v>
      </c>
      <c r="L9" s="98">
        <v>40645</v>
      </c>
      <c r="M9" s="98">
        <v>40831</v>
      </c>
      <c r="S9" s="98">
        <v>40782</v>
      </c>
      <c r="X9" s="94">
        <v>40796</v>
      </c>
      <c r="AC9" s="98">
        <v>40775</v>
      </c>
      <c r="AI9" s="98">
        <v>40775</v>
      </c>
      <c r="AL9" s="98">
        <v>40656</v>
      </c>
      <c r="AM9" s="98">
        <v>40795</v>
      </c>
      <c r="AN9" s="98">
        <v>40810</v>
      </c>
      <c r="AO9" s="98">
        <v>40831</v>
      </c>
    </row>
    <row r="10" spans="1:41">
      <c r="A10" s="97">
        <v>981227</v>
      </c>
      <c r="B10" s="97">
        <v>850896</v>
      </c>
      <c r="G10" s="95">
        <v>845740</v>
      </c>
      <c r="H10" s="97">
        <v>304610</v>
      </c>
      <c r="I10" s="97">
        <v>622600</v>
      </c>
      <c r="L10" s="97">
        <v>242682</v>
      </c>
      <c r="M10" s="97">
        <v>271741</v>
      </c>
      <c r="S10" s="97">
        <v>459940</v>
      </c>
      <c r="X10" s="97">
        <v>510847</v>
      </c>
      <c r="AC10" s="97">
        <v>1116463</v>
      </c>
      <c r="AI10" s="97">
        <v>99617</v>
      </c>
      <c r="AL10" s="97">
        <v>682194</v>
      </c>
      <c r="AM10" s="97">
        <v>460470</v>
      </c>
      <c r="AN10" s="97">
        <v>131087</v>
      </c>
      <c r="AO10" s="97">
        <v>168237</v>
      </c>
    </row>
    <row r="11" spans="1:41">
      <c r="A11" s="98">
        <v>40677</v>
      </c>
      <c r="G11" s="98">
        <v>40684</v>
      </c>
      <c r="I11" s="98">
        <v>40665</v>
      </c>
      <c r="M11" s="98">
        <v>40647</v>
      </c>
      <c r="X11" s="94">
        <v>40614</v>
      </c>
      <c r="AC11" s="98">
        <v>40586</v>
      </c>
      <c r="AM11" s="98">
        <v>40705</v>
      </c>
      <c r="AN11" s="98">
        <v>40721</v>
      </c>
      <c r="AO11" s="99">
        <v>40649</v>
      </c>
    </row>
    <row r="12" spans="1:41">
      <c r="A12" s="97">
        <v>964715</v>
      </c>
      <c r="G12" s="95">
        <v>841443</v>
      </c>
      <c r="I12" s="97">
        <v>588464</v>
      </c>
      <c r="M12" s="101">
        <v>223658</v>
      </c>
      <c r="X12" s="97">
        <v>445176</v>
      </c>
      <c r="AC12" s="97">
        <v>1107126</v>
      </c>
      <c r="AM12" s="97">
        <v>456010</v>
      </c>
      <c r="AN12" s="97">
        <v>121882</v>
      </c>
      <c r="AO12" s="100">
        <v>120030</v>
      </c>
    </row>
    <row r="13" spans="1:41">
      <c r="G13" s="95"/>
    </row>
    <row r="14" spans="1:41">
      <c r="G14" s="95"/>
    </row>
    <row r="15" spans="1:41">
      <c r="G15" s="95"/>
    </row>
    <row r="16" spans="1:41">
      <c r="G16" s="95"/>
    </row>
    <row r="17" spans="7:7">
      <c r="G17" s="95"/>
    </row>
    <row r="18" spans="7:7">
      <c r="G18" s="95"/>
    </row>
    <row r="19" spans="7:7">
      <c r="G19" s="95"/>
    </row>
    <row r="20" spans="7:7">
      <c r="G20" s="95"/>
    </row>
    <row r="21" spans="7:7">
      <c r="G21" s="95"/>
    </row>
    <row r="22" spans="7:7">
      <c r="G22" s="96"/>
    </row>
    <row r="23" spans="7:7">
      <c r="G23" s="95"/>
    </row>
    <row r="24" spans="7:7">
      <c r="G24" s="95"/>
    </row>
    <row r="25" spans="7:7">
      <c r="G25" s="96"/>
    </row>
    <row r="26" spans="7:7">
      <c r="G26" s="96"/>
    </row>
    <row r="27" spans="7:7">
      <c r="G27" s="96"/>
    </row>
    <row r="28" spans="7:7">
      <c r="G28" s="95"/>
    </row>
    <row r="29" spans="7:7">
      <c r="G29" s="95"/>
    </row>
    <row r="30" spans="7:7">
      <c r="G30" s="95"/>
    </row>
    <row r="31" spans="7:7">
      <c r="G31" s="95"/>
    </row>
    <row r="32" spans="7:7">
      <c r="G32" s="95"/>
    </row>
    <row r="33" spans="7:7">
      <c r="G33" s="95"/>
    </row>
    <row r="34" spans="7:7">
      <c r="G34" s="95"/>
    </row>
    <row r="35" spans="7:7">
      <c r="G35" s="95"/>
    </row>
    <row r="36" spans="7:7">
      <c r="G36" s="95"/>
    </row>
    <row r="37" spans="7:7">
      <c r="G37" s="95"/>
    </row>
    <row r="38" spans="7:7">
      <c r="G38" s="95"/>
    </row>
    <row r="39" spans="7:7">
      <c r="G39" s="95"/>
    </row>
    <row r="40" spans="7:7">
      <c r="G40" s="95"/>
    </row>
  </sheetData>
  <phoneticPr fontId="1"/>
  <pageMargins left="0.78700000000000003" right="0.78700000000000003" top="0.98399999999999999" bottom="0.98399999999999999" header="0.51200000000000001" footer="0.51200000000000001"/>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sheetPr codeName="Sheet3"/>
  <dimension ref="A1:AB71"/>
  <sheetViews>
    <sheetView view="pageBreakPreview" zoomScale="70" zoomScaleNormal="85" workbookViewId="0">
      <selection activeCell="Z6" sqref="Z6"/>
    </sheetView>
  </sheetViews>
  <sheetFormatPr defaultRowHeight="14.1" customHeight="1"/>
  <cols>
    <col min="1" max="1" width="9" style="1"/>
    <col min="2" max="2" width="5.625" style="1" customWidth="1"/>
    <col min="3" max="3" width="7.625" style="1" customWidth="1"/>
    <col min="4" max="4" width="4.625" style="1" customWidth="1"/>
    <col min="5" max="5" width="7.625" style="1" customWidth="1"/>
    <col min="6" max="6" width="4.625" style="1" customWidth="1"/>
    <col min="7" max="7" width="12.125" style="1" customWidth="1"/>
    <col min="8" max="8" width="6.125" style="1" customWidth="1"/>
    <col min="9" max="9" width="2.625" style="1" customWidth="1"/>
    <col min="10" max="10" width="2.125" style="1" customWidth="1"/>
    <col min="11" max="11" width="4.625" style="1" customWidth="1"/>
    <col min="12" max="12" width="12.625" style="1" customWidth="1"/>
    <col min="13" max="13" width="23.125" style="1" customWidth="1"/>
    <col min="14" max="14" width="6.125" style="1" customWidth="1"/>
    <col min="15" max="15" width="4.125" style="1" customWidth="1"/>
    <col min="16" max="16" width="16.625" style="1" customWidth="1"/>
    <col min="17" max="17" width="23.125" style="1" customWidth="1"/>
    <col min="18" max="18" width="6.125" style="1" customWidth="1"/>
    <col min="19" max="19" width="4.125" style="1" customWidth="1"/>
    <col min="20" max="20" width="16.625" style="1" customWidth="1"/>
    <col min="21" max="21" width="23.125" style="1" customWidth="1"/>
    <col min="22" max="22" width="6.125" style="1" customWidth="1"/>
    <col min="23" max="16384" width="9" style="1"/>
  </cols>
  <sheetData>
    <row r="1" spans="1:24" ht="14.1" customHeight="1" thickBot="1">
      <c r="A1" s="1" t="s">
        <v>0</v>
      </c>
      <c r="M1" s="2" t="s">
        <v>1</v>
      </c>
      <c r="N1" s="3"/>
      <c r="O1" s="3"/>
      <c r="P1" s="4"/>
      <c r="Q1" s="5" t="s">
        <v>343</v>
      </c>
      <c r="R1" s="5"/>
      <c r="S1" s="6"/>
      <c r="T1" s="7" t="s">
        <v>311</v>
      </c>
      <c r="U1" s="29" t="s">
        <v>316</v>
      </c>
      <c r="V1" s="84"/>
      <c r="X1" s="90" t="s">
        <v>345</v>
      </c>
    </row>
    <row r="2" spans="1:24" ht="27.95" customHeight="1" thickBot="1">
      <c r="A2" s="8" t="s">
        <v>2</v>
      </c>
      <c r="J2" s="9"/>
      <c r="K2" s="10"/>
      <c r="L2" s="1" t="s">
        <v>3</v>
      </c>
      <c r="M2" s="304" t="str">
        <f>VLOOKUP(X2,車両一覧!B2:N206,11,0)</f>
        <v>セブン通商　株式会社</v>
      </c>
      <c r="N2" s="305"/>
      <c r="O2" s="305"/>
      <c r="P2" s="306"/>
      <c r="Q2" s="82" t="str">
        <f>VLOOKUP(X2,車両一覧!B2:N206,4,0)</f>
        <v>滋賀100か5609</v>
      </c>
      <c r="R2" s="14"/>
      <c r="S2" s="15"/>
      <c r="T2" s="85" t="str">
        <f>VLOOKUP(X2,車両一覧!B2:N206,5,0)</f>
        <v>ニッサンディーゼル</v>
      </c>
      <c r="U2" s="86" t="str">
        <f>VLOOKUP(X2,車両一覧!B2:N206,7,0)</f>
        <v>平成20年7月</v>
      </c>
      <c r="V2" s="18"/>
      <c r="X2" s="91">
        <v>5609</v>
      </c>
    </row>
    <row r="3" spans="1:24" ht="14.1" customHeight="1" thickBot="1">
      <c r="M3" s="11" t="s">
        <v>4</v>
      </c>
      <c r="N3" s="12"/>
      <c r="O3" s="12"/>
      <c r="P3" s="13"/>
      <c r="Q3" s="14" t="s">
        <v>344</v>
      </c>
      <c r="R3" s="14"/>
      <c r="S3" s="15"/>
      <c r="T3" s="16" t="s">
        <v>312</v>
      </c>
      <c r="U3" s="87" t="s">
        <v>313</v>
      </c>
      <c r="V3" s="88"/>
    </row>
    <row r="4" spans="1:24" ht="27.95" customHeight="1" thickTop="1" thickBot="1">
      <c r="D4" s="74">
        <v>3</v>
      </c>
      <c r="E4" s="8" t="s">
        <v>5</v>
      </c>
      <c r="F4" s="8"/>
      <c r="G4" s="8"/>
      <c r="H4" s="19"/>
      <c r="I4" s="20" t="s">
        <v>254</v>
      </c>
      <c r="J4" s="9"/>
      <c r="K4" s="10"/>
      <c r="L4" s="1" t="s">
        <v>6</v>
      </c>
      <c r="M4" s="307" t="str">
        <f>VLOOKUP(X2,車両一覧!B2:N206,12,0)</f>
        <v>愛知県西尾市吉良町吉田亥改13-3</v>
      </c>
      <c r="N4" s="308"/>
      <c r="O4" s="308"/>
      <c r="P4" s="309"/>
      <c r="Q4" s="83" t="str">
        <f>VLOOKUP(X2,車両一覧!B2:N206,9,0)</f>
        <v>GK4XAB-30624</v>
      </c>
      <c r="R4" s="23"/>
      <c r="S4" s="24"/>
      <c r="T4" s="81" t="str">
        <f>VLOOKUP(X2,車両一覧!B2:N206,6,0)</f>
        <v>GE13</v>
      </c>
      <c r="U4" s="25"/>
      <c r="V4" s="26"/>
    </row>
    <row r="5" spans="1:24" ht="17.100000000000001" customHeight="1" thickTop="1" thickBot="1">
      <c r="B5" s="27" t="s">
        <v>7</v>
      </c>
      <c r="C5" s="27"/>
      <c r="D5" s="27"/>
    </row>
    <row r="6" spans="1:24" ht="12" customHeight="1" thickBot="1">
      <c r="B6" s="28" t="s">
        <v>8</v>
      </c>
      <c r="C6" s="5"/>
      <c r="D6" s="6"/>
      <c r="E6" s="7" t="s">
        <v>9</v>
      </c>
      <c r="F6" s="29"/>
      <c r="G6" s="6"/>
      <c r="H6" s="30"/>
      <c r="K6" s="282" t="s">
        <v>8</v>
      </c>
      <c r="L6" s="310"/>
      <c r="M6" s="6" t="s">
        <v>9</v>
      </c>
      <c r="N6" s="109"/>
      <c r="P6" s="28" t="s">
        <v>8</v>
      </c>
      <c r="Q6" s="7" t="s">
        <v>9</v>
      </c>
      <c r="R6" s="30"/>
      <c r="T6" s="28" t="s">
        <v>8</v>
      </c>
      <c r="U6" s="7" t="s">
        <v>9</v>
      </c>
      <c r="V6" s="30"/>
    </row>
    <row r="7" spans="1:24" ht="12" customHeight="1" thickTop="1">
      <c r="B7" s="31" t="s">
        <v>10</v>
      </c>
      <c r="C7" s="32"/>
      <c r="D7" s="32"/>
      <c r="E7" s="12"/>
      <c r="F7" s="12"/>
      <c r="G7" s="12"/>
      <c r="H7" s="18"/>
      <c r="K7" s="285" t="s">
        <v>11</v>
      </c>
      <c r="L7" s="301"/>
      <c r="M7" s="35" t="s">
        <v>12</v>
      </c>
      <c r="N7" s="37"/>
      <c r="O7" s="37"/>
      <c r="P7" s="38"/>
      <c r="Q7" s="36" t="s">
        <v>13</v>
      </c>
      <c r="R7" s="296"/>
      <c r="T7" s="39" t="s">
        <v>14</v>
      </c>
      <c r="U7" s="17"/>
      <c r="V7" s="108"/>
    </row>
    <row r="8" spans="1:24" ht="12" customHeight="1" thickBot="1">
      <c r="B8" s="11"/>
      <c r="C8" s="12"/>
      <c r="D8" s="12"/>
      <c r="E8" s="12"/>
      <c r="F8" s="12"/>
      <c r="G8" s="12"/>
      <c r="H8" s="18"/>
      <c r="K8" s="285" t="s">
        <v>255</v>
      </c>
      <c r="L8" s="301"/>
      <c r="M8" s="40"/>
      <c r="N8" s="107"/>
      <c r="O8" s="37"/>
      <c r="P8" s="42"/>
      <c r="Q8" s="43"/>
      <c r="R8" s="277"/>
      <c r="T8" s="11"/>
      <c r="U8" s="12"/>
      <c r="V8" s="18"/>
    </row>
    <row r="9" spans="1:24" ht="12" customHeight="1" thickTop="1">
      <c r="B9" s="44" t="s">
        <v>256</v>
      </c>
      <c r="C9" s="35"/>
      <c r="D9" s="35"/>
      <c r="E9" s="36" t="s">
        <v>15</v>
      </c>
      <c r="F9" s="35"/>
      <c r="G9" s="35"/>
      <c r="H9" s="296"/>
      <c r="K9" s="11"/>
      <c r="L9" s="13"/>
      <c r="M9" s="36" t="s">
        <v>16</v>
      </c>
      <c r="N9" s="111"/>
      <c r="O9" s="37"/>
      <c r="P9" s="38" t="s">
        <v>257</v>
      </c>
      <c r="Q9" s="36" t="s">
        <v>17</v>
      </c>
      <c r="R9" s="111"/>
      <c r="S9" s="37"/>
      <c r="T9" s="45" t="s">
        <v>18</v>
      </c>
      <c r="U9" s="36" t="s">
        <v>19</v>
      </c>
      <c r="V9" s="296"/>
    </row>
    <row r="10" spans="1:24" ht="12" customHeight="1" thickBot="1">
      <c r="B10" s="46"/>
      <c r="C10" s="40"/>
      <c r="D10" s="40"/>
      <c r="E10" s="41"/>
      <c r="F10" s="40"/>
      <c r="G10" s="40"/>
      <c r="H10" s="278"/>
      <c r="K10" s="11"/>
      <c r="L10" s="13"/>
      <c r="M10" s="41" t="s">
        <v>20</v>
      </c>
      <c r="N10" s="107"/>
      <c r="O10" s="37"/>
      <c r="P10" s="42"/>
      <c r="Q10" s="41"/>
      <c r="R10" s="107"/>
      <c r="S10" s="37"/>
      <c r="T10" s="38" t="s">
        <v>21</v>
      </c>
      <c r="U10" s="47"/>
      <c r="V10" s="278"/>
    </row>
    <row r="11" spans="1:24" ht="12" customHeight="1" thickTop="1">
      <c r="B11" s="11" t="s">
        <v>258</v>
      </c>
      <c r="C11" s="12"/>
      <c r="D11" s="12"/>
      <c r="E11" s="36" t="s">
        <v>22</v>
      </c>
      <c r="F11" s="12"/>
      <c r="G11" s="12"/>
      <c r="H11" s="296"/>
      <c r="K11" s="11"/>
      <c r="L11" s="13"/>
      <c r="M11" s="36" t="s">
        <v>23</v>
      </c>
      <c r="N11" s="277"/>
      <c r="P11" s="31" t="s">
        <v>24</v>
      </c>
      <c r="Q11" s="12"/>
      <c r="R11" s="12"/>
      <c r="S11" s="37"/>
      <c r="T11" s="38"/>
      <c r="U11" s="17" t="s">
        <v>25</v>
      </c>
      <c r="V11" s="296"/>
    </row>
    <row r="12" spans="1:24" ht="12" customHeight="1" thickBot="1">
      <c r="B12" s="11"/>
      <c r="C12" s="12"/>
      <c r="D12" s="12"/>
      <c r="E12" s="41"/>
      <c r="F12" s="12"/>
      <c r="G12" s="12"/>
      <c r="H12" s="278"/>
      <c r="K12" s="46"/>
      <c r="L12" s="48"/>
      <c r="M12" s="41"/>
      <c r="N12" s="278"/>
      <c r="P12" s="46"/>
      <c r="Q12" s="40"/>
      <c r="R12" s="26"/>
      <c r="S12" s="37"/>
      <c r="T12" s="42"/>
      <c r="U12" s="41"/>
      <c r="V12" s="278"/>
    </row>
    <row r="13" spans="1:24" ht="12" customHeight="1" thickTop="1">
      <c r="B13" s="11"/>
      <c r="C13" s="12"/>
      <c r="D13" s="12"/>
      <c r="E13" s="36" t="s">
        <v>26</v>
      </c>
      <c r="F13" s="35"/>
      <c r="G13" s="35"/>
      <c r="H13" s="296"/>
      <c r="K13" s="299" t="s">
        <v>259</v>
      </c>
      <c r="L13" s="300"/>
      <c r="M13" s="36" t="s">
        <v>27</v>
      </c>
      <c r="N13" s="296"/>
      <c r="P13" s="45" t="s">
        <v>260</v>
      </c>
      <c r="Q13" s="36" t="s">
        <v>28</v>
      </c>
      <c r="R13" s="37"/>
      <c r="S13" s="37"/>
      <c r="T13" s="38" t="s">
        <v>29</v>
      </c>
      <c r="U13" s="17" t="s">
        <v>30</v>
      </c>
      <c r="V13" s="296"/>
    </row>
    <row r="14" spans="1:24" ht="12" customHeight="1" thickBot="1">
      <c r="B14" s="11"/>
      <c r="C14" s="40"/>
      <c r="D14" s="48"/>
      <c r="E14" s="41"/>
      <c r="F14" s="40"/>
      <c r="G14" s="40"/>
      <c r="H14" s="277"/>
      <c r="K14" s="46"/>
      <c r="L14" s="48"/>
      <c r="M14" s="41"/>
      <c r="N14" s="277"/>
      <c r="P14" s="11"/>
      <c r="Q14" s="41" t="s">
        <v>31</v>
      </c>
      <c r="R14" s="107"/>
      <c r="S14" s="37"/>
      <c r="T14" s="38" t="s">
        <v>32</v>
      </c>
      <c r="U14" s="17"/>
      <c r="V14" s="278"/>
    </row>
    <row r="15" spans="1:24" ht="12" customHeight="1" thickTop="1">
      <c r="B15" s="45" t="s">
        <v>33</v>
      </c>
      <c r="C15" s="12"/>
      <c r="D15" s="53"/>
      <c r="E15" s="12" t="s">
        <v>34</v>
      </c>
      <c r="F15" s="12"/>
      <c r="G15" s="12"/>
      <c r="H15" s="111"/>
      <c r="I15" s="11"/>
      <c r="K15" s="299" t="s">
        <v>261</v>
      </c>
      <c r="L15" s="300"/>
      <c r="M15" s="12" t="s">
        <v>35</v>
      </c>
      <c r="N15" s="111"/>
      <c r="O15" s="37"/>
      <c r="P15" s="11"/>
      <c r="Q15" s="36" t="s">
        <v>36</v>
      </c>
      <c r="R15" s="37"/>
      <c r="S15" s="37"/>
      <c r="T15" s="38"/>
      <c r="U15" s="36" t="s">
        <v>37</v>
      </c>
      <c r="V15" s="296"/>
    </row>
    <row r="16" spans="1:24" ht="12" customHeight="1" thickBot="1">
      <c r="B16" s="11"/>
      <c r="C16" s="12"/>
      <c r="D16" s="12"/>
      <c r="E16" s="17"/>
      <c r="F16" s="12"/>
      <c r="G16" s="12"/>
      <c r="H16" s="107"/>
      <c r="I16" s="11"/>
      <c r="K16" s="285" t="s">
        <v>38</v>
      </c>
      <c r="L16" s="301"/>
      <c r="M16" s="12" t="s">
        <v>289</v>
      </c>
      <c r="N16" s="107"/>
      <c r="O16" s="37"/>
      <c r="P16" s="11"/>
      <c r="Q16" s="41"/>
      <c r="R16" s="107"/>
      <c r="S16" s="37"/>
      <c r="T16" s="38"/>
      <c r="U16" s="17" t="s">
        <v>39</v>
      </c>
      <c r="V16" s="278"/>
    </row>
    <row r="17" spans="2:23" ht="12" customHeight="1" thickTop="1">
      <c r="B17" s="11"/>
      <c r="C17" s="12"/>
      <c r="D17" s="12"/>
      <c r="E17" s="36" t="s">
        <v>262</v>
      </c>
      <c r="F17" s="35"/>
      <c r="G17" s="35"/>
      <c r="H17" s="277"/>
      <c r="K17" s="11"/>
      <c r="L17" s="13"/>
      <c r="M17" s="36" t="s">
        <v>40</v>
      </c>
      <c r="N17" s="111"/>
      <c r="O17" s="37"/>
      <c r="P17" s="11"/>
      <c r="Q17" s="36" t="s">
        <v>41</v>
      </c>
      <c r="R17" s="37"/>
      <c r="S17" s="37"/>
      <c r="T17" s="38"/>
      <c r="U17" s="36" t="s">
        <v>42</v>
      </c>
      <c r="V17" s="296"/>
    </row>
    <row r="18" spans="2:23" ht="12" customHeight="1" thickBot="1">
      <c r="B18" s="46"/>
      <c r="C18" s="40"/>
      <c r="D18" s="40"/>
      <c r="E18" s="41" t="s">
        <v>43</v>
      </c>
      <c r="F18" s="40"/>
      <c r="G18" s="40"/>
      <c r="H18" s="277"/>
      <c r="K18" s="11"/>
      <c r="L18" s="13"/>
      <c r="M18" s="41"/>
      <c r="N18" s="107"/>
      <c r="O18" s="37"/>
      <c r="P18" s="46"/>
      <c r="Q18" s="41"/>
      <c r="R18" s="107"/>
      <c r="S18" s="37"/>
      <c r="T18" s="38"/>
      <c r="U18" s="41"/>
      <c r="V18" s="278"/>
    </row>
    <row r="19" spans="2:23" ht="12" customHeight="1" thickTop="1">
      <c r="B19" s="45" t="s">
        <v>263</v>
      </c>
      <c r="C19" s="35"/>
      <c r="D19" s="35"/>
      <c r="E19" s="36" t="s">
        <v>44</v>
      </c>
      <c r="F19" s="12"/>
      <c r="G19" s="12"/>
      <c r="H19" s="111"/>
      <c r="I19" s="11"/>
      <c r="K19" s="11"/>
      <c r="L19" s="13"/>
      <c r="M19" s="36" t="s">
        <v>45</v>
      </c>
      <c r="N19" s="277"/>
      <c r="P19" s="45" t="s">
        <v>46</v>
      </c>
      <c r="Q19" s="36" t="s">
        <v>47</v>
      </c>
      <c r="R19" s="37"/>
      <c r="S19" s="37"/>
      <c r="T19" s="45" t="s">
        <v>48</v>
      </c>
      <c r="U19" s="36" t="s">
        <v>49</v>
      </c>
      <c r="V19" s="296"/>
    </row>
    <row r="20" spans="2:23" ht="12" customHeight="1" thickBot="1">
      <c r="B20" s="46"/>
      <c r="C20" s="40"/>
      <c r="D20" s="48"/>
      <c r="E20" s="41"/>
      <c r="F20" s="12"/>
      <c r="G20" s="12"/>
      <c r="H20" s="107"/>
      <c r="I20" s="11"/>
      <c r="K20" s="11"/>
      <c r="L20" s="13"/>
      <c r="M20" s="41"/>
      <c r="N20" s="277"/>
      <c r="P20" s="42" t="s">
        <v>264</v>
      </c>
      <c r="Q20" s="41"/>
      <c r="R20" s="107"/>
      <c r="S20" s="37"/>
      <c r="T20" s="38" t="s">
        <v>50</v>
      </c>
      <c r="U20" s="17" t="s">
        <v>51</v>
      </c>
      <c r="V20" s="278"/>
    </row>
    <row r="21" spans="2:23" ht="12" customHeight="1" thickTop="1">
      <c r="B21" s="45" t="s">
        <v>52</v>
      </c>
      <c r="C21" s="35"/>
      <c r="D21" s="35"/>
      <c r="E21" s="36" t="s">
        <v>265</v>
      </c>
      <c r="F21" s="35"/>
      <c r="G21" s="54"/>
      <c r="H21" s="277"/>
      <c r="K21" s="299" t="s">
        <v>266</v>
      </c>
      <c r="L21" s="300"/>
      <c r="M21" s="36" t="s">
        <v>53</v>
      </c>
      <c r="N21" s="111"/>
      <c r="O21" s="37"/>
      <c r="P21" s="45" t="s">
        <v>54</v>
      </c>
      <c r="Q21" s="36" t="s">
        <v>55</v>
      </c>
      <c r="R21" s="111"/>
      <c r="S21" s="37"/>
      <c r="T21" s="38"/>
      <c r="U21" s="36" t="s">
        <v>56</v>
      </c>
      <c r="V21" s="296"/>
    </row>
    <row r="22" spans="2:23" ht="12" customHeight="1" thickBot="1">
      <c r="B22" s="46"/>
      <c r="C22" s="40"/>
      <c r="D22" s="40"/>
      <c r="E22" s="41"/>
      <c r="F22" s="40"/>
      <c r="G22" s="55"/>
      <c r="H22" s="277"/>
      <c r="K22" s="285" t="s">
        <v>267</v>
      </c>
      <c r="L22" s="301"/>
      <c r="M22" s="41"/>
      <c r="N22" s="107"/>
      <c r="O22" s="37"/>
      <c r="P22" s="38" t="s">
        <v>268</v>
      </c>
      <c r="Q22" s="41"/>
      <c r="R22" s="107"/>
      <c r="S22" s="37"/>
      <c r="T22" s="38"/>
      <c r="U22" s="41"/>
      <c r="V22" s="278"/>
    </row>
    <row r="23" spans="2:23" ht="12" customHeight="1" thickTop="1">
      <c r="B23" s="45" t="s">
        <v>269</v>
      </c>
      <c r="C23" s="35"/>
      <c r="D23" s="35"/>
      <c r="E23" s="36" t="s">
        <v>57</v>
      </c>
      <c r="F23" s="12"/>
      <c r="G23" s="12"/>
      <c r="H23" s="111"/>
      <c r="I23" s="11"/>
      <c r="K23" s="11"/>
      <c r="L23" s="13"/>
      <c r="M23" s="36" t="s">
        <v>58</v>
      </c>
      <c r="N23" s="111"/>
      <c r="O23" s="37"/>
      <c r="P23" s="38"/>
      <c r="Q23" s="12" t="s">
        <v>59</v>
      </c>
      <c r="R23" s="277"/>
      <c r="T23" s="38"/>
      <c r="U23" s="36" t="s">
        <v>60</v>
      </c>
      <c r="V23" s="296"/>
    </row>
    <row r="24" spans="2:23" ht="12" customHeight="1" thickBot="1">
      <c r="B24" s="11" t="s">
        <v>21</v>
      </c>
      <c r="C24" s="12"/>
      <c r="D24" s="12"/>
      <c r="E24" s="41"/>
      <c r="F24" s="40"/>
      <c r="G24" s="40"/>
      <c r="H24" s="107"/>
      <c r="I24" s="11"/>
      <c r="K24" s="11"/>
      <c r="L24" s="13"/>
      <c r="M24" s="17"/>
      <c r="N24" s="107"/>
      <c r="O24" s="37"/>
      <c r="P24" s="38"/>
      <c r="Q24" s="12" t="s">
        <v>61</v>
      </c>
      <c r="R24" s="278"/>
      <c r="T24" s="38"/>
      <c r="U24" s="41"/>
      <c r="V24" s="278"/>
    </row>
    <row r="25" spans="2:23" ht="12" customHeight="1" thickTop="1">
      <c r="B25" s="11"/>
      <c r="C25" s="12"/>
      <c r="D25" s="12"/>
      <c r="E25" s="36" t="s">
        <v>62</v>
      </c>
      <c r="F25" s="35"/>
      <c r="G25" s="35"/>
      <c r="H25" s="111"/>
      <c r="I25" s="11"/>
      <c r="K25" s="11"/>
      <c r="L25" s="13"/>
      <c r="M25" s="36" t="s">
        <v>63</v>
      </c>
      <c r="N25" s="277"/>
      <c r="P25" s="38"/>
      <c r="Q25" s="36" t="s">
        <v>64</v>
      </c>
      <c r="R25" s="296"/>
      <c r="T25" s="38"/>
      <c r="U25" s="17" t="s">
        <v>65</v>
      </c>
      <c r="V25" s="296"/>
    </row>
    <row r="26" spans="2:23" ht="12" customHeight="1" thickBot="1">
      <c r="B26" s="11"/>
      <c r="C26" s="12"/>
      <c r="D26" s="12"/>
      <c r="E26" s="41"/>
      <c r="F26" s="12"/>
      <c r="G26" s="12"/>
      <c r="H26" s="107"/>
      <c r="I26" s="11"/>
      <c r="K26" s="11"/>
      <c r="L26" s="13"/>
      <c r="M26" s="41"/>
      <c r="N26" s="278"/>
      <c r="P26" s="38"/>
      <c r="Q26" s="41"/>
      <c r="R26" s="278"/>
      <c r="T26" s="38"/>
      <c r="U26" s="41" t="s">
        <v>66</v>
      </c>
      <c r="V26" s="278"/>
    </row>
    <row r="27" spans="2:23" ht="12" customHeight="1" thickTop="1">
      <c r="B27" s="11"/>
      <c r="C27" s="12"/>
      <c r="D27" s="12"/>
      <c r="E27" s="36" t="s">
        <v>26</v>
      </c>
      <c r="F27" s="35"/>
      <c r="G27" s="54"/>
      <c r="H27" s="277"/>
      <c r="K27" s="11"/>
      <c r="L27" s="13"/>
      <c r="M27" s="36" t="s">
        <v>67</v>
      </c>
      <c r="N27" s="296"/>
      <c r="P27" s="38"/>
      <c r="Q27" s="36" t="s">
        <v>270</v>
      </c>
      <c r="R27" s="296"/>
      <c r="T27" s="38"/>
      <c r="U27" s="17" t="s">
        <v>68</v>
      </c>
      <c r="V27" s="296"/>
    </row>
    <row r="28" spans="2:23" ht="12" customHeight="1" thickBot="1">
      <c r="B28" s="46"/>
      <c r="C28" s="40"/>
      <c r="D28" s="40"/>
      <c r="E28" s="41"/>
      <c r="F28" s="40"/>
      <c r="G28" s="55"/>
      <c r="H28" s="278"/>
      <c r="K28" s="46"/>
      <c r="L28" s="48"/>
      <c r="M28" s="41"/>
      <c r="N28" s="278"/>
      <c r="P28" s="42"/>
      <c r="Q28" s="41"/>
      <c r="R28" s="277"/>
      <c r="T28" s="56"/>
      <c r="U28" s="57"/>
      <c r="V28" s="278"/>
    </row>
    <row r="29" spans="2:23" ht="12" customHeight="1" thickTop="1">
      <c r="B29" s="31" t="s">
        <v>69</v>
      </c>
      <c r="C29" s="32"/>
      <c r="D29" s="32"/>
      <c r="E29" s="12"/>
      <c r="F29" s="12"/>
      <c r="G29" s="12"/>
      <c r="H29" s="12"/>
      <c r="I29" s="11"/>
      <c r="K29" s="299" t="s">
        <v>70</v>
      </c>
      <c r="L29" s="300"/>
      <c r="M29" s="12" t="s">
        <v>66</v>
      </c>
      <c r="N29" s="296"/>
      <c r="P29" s="38" t="s">
        <v>271</v>
      </c>
      <c r="Q29" s="17" t="s">
        <v>47</v>
      </c>
      <c r="R29" s="112"/>
      <c r="S29" s="37"/>
      <c r="T29" s="38" t="s">
        <v>71</v>
      </c>
      <c r="U29" s="17" t="s">
        <v>36</v>
      </c>
      <c r="V29" s="58"/>
    </row>
    <row r="30" spans="2:23" ht="12" customHeight="1" thickBot="1">
      <c r="B30" s="46"/>
      <c r="C30" s="40"/>
      <c r="D30" s="40"/>
      <c r="E30" s="40"/>
      <c r="F30" s="40"/>
      <c r="G30" s="40"/>
      <c r="H30" s="26"/>
      <c r="I30" s="11"/>
      <c r="K30" s="285" t="s">
        <v>72</v>
      </c>
      <c r="L30" s="301"/>
      <c r="M30" s="52"/>
      <c r="N30" s="278"/>
      <c r="P30" s="42"/>
      <c r="Q30" s="41"/>
      <c r="R30" s="110"/>
      <c r="S30" s="37"/>
      <c r="T30" s="38" t="s">
        <v>73</v>
      </c>
      <c r="U30" s="17"/>
      <c r="V30" s="59"/>
    </row>
    <row r="31" spans="2:23" ht="12" customHeight="1" thickBot="1">
      <c r="B31" s="44" t="s">
        <v>272</v>
      </c>
      <c r="C31" s="35"/>
      <c r="D31" s="53"/>
      <c r="E31" s="36" t="s">
        <v>74</v>
      </c>
      <c r="F31" s="35"/>
      <c r="G31" s="35"/>
      <c r="H31" s="37"/>
      <c r="I31" s="11"/>
      <c r="K31" s="302" t="s">
        <v>75</v>
      </c>
      <c r="L31" s="303"/>
      <c r="M31" s="12"/>
      <c r="N31" s="18"/>
      <c r="P31" s="31" t="s">
        <v>76</v>
      </c>
      <c r="Q31" s="12"/>
      <c r="R31" s="26"/>
      <c r="S31" s="37"/>
      <c r="T31" s="42" t="s">
        <v>77</v>
      </c>
      <c r="U31" s="41"/>
      <c r="V31" s="59"/>
    </row>
    <row r="32" spans="2:23" ht="12" customHeight="1" thickBot="1">
      <c r="B32" s="11"/>
      <c r="C32" s="12"/>
      <c r="D32" s="13"/>
      <c r="E32" s="41" t="s">
        <v>31</v>
      </c>
      <c r="F32" s="40"/>
      <c r="G32" s="40"/>
      <c r="H32" s="107"/>
      <c r="I32" s="11"/>
      <c r="K32" s="46"/>
      <c r="L32" s="40"/>
      <c r="M32" s="40"/>
      <c r="N32" s="26"/>
      <c r="P32" s="45" t="s">
        <v>78</v>
      </c>
      <c r="Q32" s="36" t="s">
        <v>79</v>
      </c>
      <c r="R32" s="37"/>
      <c r="S32" s="37"/>
      <c r="T32" s="38" t="s">
        <v>273</v>
      </c>
      <c r="U32" s="36" t="s">
        <v>80</v>
      </c>
      <c r="V32" s="111"/>
      <c r="W32" s="12"/>
    </row>
    <row r="33" spans="2:28" ht="12" customHeight="1" thickBot="1">
      <c r="B33" s="11"/>
      <c r="C33" s="12"/>
      <c r="D33" s="13"/>
      <c r="E33" s="36" t="s">
        <v>81</v>
      </c>
      <c r="F33" s="35"/>
      <c r="G33" s="35"/>
      <c r="H33" s="37"/>
      <c r="I33" s="11"/>
      <c r="K33" s="299" t="s">
        <v>274</v>
      </c>
      <c r="L33" s="300"/>
      <c r="M33" s="36" t="s">
        <v>82</v>
      </c>
      <c r="N33" s="37"/>
      <c r="O33" s="37"/>
      <c r="P33" s="38"/>
      <c r="Q33" s="17" t="s">
        <v>83</v>
      </c>
      <c r="R33" s="37"/>
      <c r="S33" s="37"/>
      <c r="T33" s="38" t="s">
        <v>84</v>
      </c>
      <c r="U33" s="41"/>
      <c r="V33" s="107"/>
      <c r="W33" s="12"/>
      <c r="AB33" s="126"/>
    </row>
    <row r="34" spans="2:28" ht="12" customHeight="1" thickBot="1">
      <c r="B34" s="46"/>
      <c r="C34" s="40"/>
      <c r="D34" s="48"/>
      <c r="E34" s="41"/>
      <c r="F34" s="40"/>
      <c r="G34" s="40"/>
      <c r="H34" s="107"/>
      <c r="I34" s="11"/>
      <c r="K34" s="11"/>
      <c r="L34" s="13"/>
      <c r="M34" s="17"/>
      <c r="N34" s="107"/>
      <c r="O34" s="37"/>
      <c r="P34" s="42"/>
      <c r="Q34" s="41" t="s">
        <v>85</v>
      </c>
      <c r="R34" s="107"/>
      <c r="S34" s="37"/>
      <c r="T34" s="38"/>
      <c r="U34" s="36" t="s">
        <v>86</v>
      </c>
      <c r="V34" s="277"/>
    </row>
    <row r="35" spans="2:28" ht="12" customHeight="1" thickBot="1">
      <c r="B35" s="44" t="s">
        <v>87</v>
      </c>
      <c r="C35" s="35"/>
      <c r="D35" s="53"/>
      <c r="E35" s="36" t="s">
        <v>88</v>
      </c>
      <c r="F35" s="35"/>
      <c r="G35" s="35"/>
      <c r="H35" s="37"/>
      <c r="I35" s="11"/>
      <c r="K35" s="11"/>
      <c r="L35" s="13"/>
      <c r="M35" s="36" t="s">
        <v>293</v>
      </c>
      <c r="N35" s="111"/>
      <c r="O35" s="37"/>
      <c r="P35" s="11"/>
      <c r="Q35" s="36" t="s">
        <v>89</v>
      </c>
      <c r="R35" s="111"/>
      <c r="S35" s="37"/>
      <c r="T35" s="42"/>
      <c r="U35" s="17"/>
      <c r="V35" s="277"/>
    </row>
    <row r="36" spans="2:28" ht="12" customHeight="1" thickBot="1">
      <c r="B36" s="11"/>
      <c r="C36" s="12"/>
      <c r="D36" s="13"/>
      <c r="E36" s="41"/>
      <c r="F36" s="40"/>
      <c r="G36" s="40"/>
      <c r="H36" s="107"/>
      <c r="I36" s="11"/>
      <c r="K36" s="11"/>
      <c r="L36" s="13"/>
      <c r="M36" s="41" t="s">
        <v>90</v>
      </c>
      <c r="N36" s="107"/>
      <c r="O36" s="37"/>
      <c r="P36" s="11"/>
      <c r="Q36" s="41"/>
      <c r="R36" s="107"/>
      <c r="S36" s="37"/>
      <c r="T36" s="38" t="s">
        <v>294</v>
      </c>
      <c r="U36" s="36" t="s">
        <v>91</v>
      </c>
      <c r="V36" s="111"/>
      <c r="W36" s="12"/>
    </row>
    <row r="37" spans="2:28" ht="12" customHeight="1" thickBot="1">
      <c r="B37" s="11"/>
      <c r="C37" s="12"/>
      <c r="D37" s="13"/>
      <c r="E37" s="36" t="s">
        <v>81</v>
      </c>
      <c r="F37" s="35"/>
      <c r="G37" s="35"/>
      <c r="H37" s="37"/>
      <c r="I37" s="11"/>
      <c r="K37" s="11"/>
      <c r="L37" s="13"/>
      <c r="M37" s="51" t="s">
        <v>293</v>
      </c>
      <c r="N37" s="277"/>
      <c r="P37" s="11"/>
      <c r="Q37" s="36" t="s">
        <v>295</v>
      </c>
      <c r="R37" s="277"/>
      <c r="T37" s="38"/>
      <c r="U37" s="41"/>
      <c r="V37" s="107"/>
      <c r="W37" s="12"/>
    </row>
    <row r="38" spans="2:28" ht="12" customHeight="1" thickBot="1">
      <c r="B38" s="46"/>
      <c r="C38" s="40"/>
      <c r="D38" s="48"/>
      <c r="E38" s="41"/>
      <c r="F38" s="40"/>
      <c r="G38" s="40"/>
      <c r="H38" s="107"/>
      <c r="I38" s="11"/>
      <c r="K38" s="11"/>
      <c r="L38" s="13"/>
      <c r="M38" s="52" t="s">
        <v>92</v>
      </c>
      <c r="N38" s="277"/>
      <c r="P38" s="42"/>
      <c r="Q38" s="41" t="s">
        <v>93</v>
      </c>
      <c r="R38" s="277"/>
      <c r="T38" s="38"/>
      <c r="U38" s="17" t="s">
        <v>275</v>
      </c>
      <c r="V38" s="59"/>
    </row>
    <row r="39" spans="2:28" ht="12" customHeight="1">
      <c r="B39" s="44" t="s">
        <v>94</v>
      </c>
      <c r="C39" s="35"/>
      <c r="D39" s="53"/>
      <c r="E39" s="36" t="s">
        <v>95</v>
      </c>
      <c r="F39" s="35"/>
      <c r="G39" s="35"/>
      <c r="H39" s="37"/>
      <c r="I39" s="11"/>
      <c r="K39" s="11"/>
      <c r="L39" s="13"/>
      <c r="M39" s="17" t="s">
        <v>276</v>
      </c>
      <c r="N39" s="111"/>
      <c r="O39" s="37"/>
      <c r="P39" s="38" t="s">
        <v>277</v>
      </c>
      <c r="Q39" s="17" t="s">
        <v>96</v>
      </c>
      <c r="R39" s="111"/>
      <c r="S39" s="37"/>
      <c r="T39" s="38"/>
      <c r="U39" s="17" t="s">
        <v>278</v>
      </c>
      <c r="V39" s="59"/>
    </row>
    <row r="40" spans="2:28" ht="12" customHeight="1" thickBot="1">
      <c r="B40" s="46"/>
      <c r="C40" s="40"/>
      <c r="D40" s="48"/>
      <c r="E40" s="41"/>
      <c r="F40" s="40"/>
      <c r="G40" s="40"/>
      <c r="H40" s="107"/>
      <c r="I40" s="11"/>
      <c r="K40" s="11"/>
      <c r="L40" s="13"/>
      <c r="M40" s="17" t="s">
        <v>279</v>
      </c>
      <c r="N40" s="107"/>
      <c r="O40" s="37"/>
      <c r="P40" s="42"/>
      <c r="Q40" s="41"/>
      <c r="R40" s="107"/>
      <c r="S40" s="37"/>
      <c r="T40" s="38"/>
      <c r="U40" s="41" t="s">
        <v>97</v>
      </c>
      <c r="V40" s="59"/>
      <c r="W40" s="12"/>
    </row>
    <row r="41" spans="2:28" ht="12" customHeight="1">
      <c r="B41" s="44" t="s">
        <v>280</v>
      </c>
      <c r="C41" s="35"/>
      <c r="D41" s="53"/>
      <c r="E41" s="36" t="s">
        <v>41</v>
      </c>
      <c r="F41" s="35"/>
      <c r="G41" s="35"/>
      <c r="H41" s="111"/>
      <c r="I41" s="11"/>
      <c r="K41" s="11"/>
      <c r="L41" s="13"/>
      <c r="M41" s="36" t="s">
        <v>281</v>
      </c>
      <c r="N41" s="277"/>
      <c r="P41" s="45" t="s">
        <v>98</v>
      </c>
      <c r="Q41" s="36" t="s">
        <v>99</v>
      </c>
      <c r="R41" s="37"/>
      <c r="S41" s="37"/>
      <c r="T41" s="45" t="s">
        <v>100</v>
      </c>
      <c r="U41" s="17" t="s">
        <v>101</v>
      </c>
      <c r="V41" s="297"/>
      <c r="W41" s="12"/>
    </row>
    <row r="42" spans="2:28" ht="12" customHeight="1" thickBot="1">
      <c r="B42" s="46"/>
      <c r="C42" s="40"/>
      <c r="D42" s="48"/>
      <c r="E42" s="41"/>
      <c r="F42" s="12"/>
      <c r="G42" s="12"/>
      <c r="H42" s="107"/>
      <c r="I42" s="11"/>
      <c r="K42" s="11"/>
      <c r="L42" s="13"/>
      <c r="M42" s="41" t="s">
        <v>102</v>
      </c>
      <c r="N42" s="278"/>
      <c r="P42" s="42"/>
      <c r="Q42" s="41"/>
      <c r="R42" s="107"/>
      <c r="S42" s="37"/>
      <c r="T42" s="38" t="s">
        <v>103</v>
      </c>
      <c r="U42" s="17" t="s">
        <v>104</v>
      </c>
      <c r="V42" s="298"/>
      <c r="W42" s="12"/>
    </row>
    <row r="43" spans="2:28" ht="12" customHeight="1" thickTop="1">
      <c r="B43" s="44" t="s">
        <v>296</v>
      </c>
      <c r="C43" s="35"/>
      <c r="D43" s="35"/>
      <c r="E43" s="36" t="s">
        <v>105</v>
      </c>
      <c r="F43" s="35"/>
      <c r="G43" s="54"/>
      <c r="H43" s="277"/>
      <c r="K43" s="11"/>
      <c r="L43" s="13"/>
      <c r="M43" s="17" t="s">
        <v>282</v>
      </c>
      <c r="N43" s="296"/>
      <c r="P43" s="62" t="s">
        <v>106</v>
      </c>
      <c r="Q43" s="35"/>
      <c r="R43" s="12"/>
      <c r="S43" s="63"/>
      <c r="T43" s="38"/>
      <c r="U43" s="36" t="s">
        <v>107</v>
      </c>
      <c r="V43" s="277"/>
    </row>
    <row r="44" spans="2:28" ht="12" customHeight="1" thickBot="1">
      <c r="B44" s="11" t="s">
        <v>108</v>
      </c>
      <c r="C44" s="12"/>
      <c r="D44" s="12"/>
      <c r="E44" s="17"/>
      <c r="F44" s="12"/>
      <c r="G44" s="64"/>
      <c r="H44" s="277"/>
      <c r="K44" s="11"/>
      <c r="L44" s="13"/>
      <c r="M44" s="41"/>
      <c r="N44" s="278"/>
      <c r="P44" s="46"/>
      <c r="Q44" s="40"/>
      <c r="R44" s="26"/>
      <c r="S44" s="37"/>
      <c r="T44" s="42"/>
      <c r="U44" s="41"/>
      <c r="V44" s="277"/>
    </row>
    <row r="45" spans="2:28" ht="12" customHeight="1" thickTop="1" thickBot="1">
      <c r="B45" s="46" t="s">
        <v>297</v>
      </c>
      <c r="C45" s="40"/>
      <c r="D45" s="40"/>
      <c r="E45" s="41"/>
      <c r="F45" s="40"/>
      <c r="G45" s="55"/>
      <c r="H45" s="277"/>
      <c r="K45" s="60" t="s">
        <v>109</v>
      </c>
      <c r="L45" s="61"/>
      <c r="M45" s="12"/>
      <c r="N45" s="18"/>
      <c r="P45" s="38" t="s">
        <v>110</v>
      </c>
      <c r="Q45" s="17" t="s">
        <v>298</v>
      </c>
      <c r="R45" s="37"/>
      <c r="S45" s="37"/>
      <c r="T45" s="38" t="s">
        <v>111</v>
      </c>
      <c r="U45" s="17" t="s">
        <v>112</v>
      </c>
      <c r="V45" s="297"/>
      <c r="W45" s="12"/>
    </row>
    <row r="46" spans="2:28" ht="12" customHeight="1" thickBot="1">
      <c r="B46" s="11" t="s">
        <v>283</v>
      </c>
      <c r="C46" s="12"/>
      <c r="D46" s="13"/>
      <c r="E46" s="36" t="s">
        <v>284</v>
      </c>
      <c r="F46" s="12"/>
      <c r="G46" s="12"/>
      <c r="H46" s="111"/>
      <c r="I46" s="11"/>
      <c r="K46" s="46"/>
      <c r="L46" s="40"/>
      <c r="M46" s="40"/>
      <c r="N46" s="26"/>
      <c r="O46" s="37"/>
      <c r="P46" s="38"/>
      <c r="Q46" s="41" t="s">
        <v>113</v>
      </c>
      <c r="R46" s="107"/>
      <c r="S46" s="37"/>
      <c r="T46" s="38"/>
      <c r="U46" s="41"/>
      <c r="V46" s="298"/>
      <c r="W46" s="12"/>
    </row>
    <row r="47" spans="2:28" ht="12" customHeight="1" thickBot="1">
      <c r="B47" s="11"/>
      <c r="C47" s="12"/>
      <c r="D47" s="13"/>
      <c r="E47" s="41"/>
      <c r="F47" s="12"/>
      <c r="G47" s="12"/>
      <c r="H47" s="107"/>
      <c r="I47" s="11"/>
      <c r="K47" s="49" t="s">
        <v>114</v>
      </c>
      <c r="L47" s="50"/>
      <c r="M47" s="36" t="s">
        <v>115</v>
      </c>
      <c r="N47" s="111"/>
      <c r="O47" s="37"/>
      <c r="P47" s="38"/>
      <c r="Q47" s="36" t="s">
        <v>116</v>
      </c>
      <c r="R47" s="37"/>
      <c r="S47" s="37"/>
      <c r="T47" s="38"/>
      <c r="U47" s="36" t="s">
        <v>117</v>
      </c>
      <c r="V47" s="111"/>
      <c r="W47" s="12"/>
    </row>
    <row r="48" spans="2:28" ht="12" customHeight="1" thickBot="1">
      <c r="B48" s="11"/>
      <c r="C48" s="12"/>
      <c r="D48" s="12"/>
      <c r="E48" s="36" t="s">
        <v>118</v>
      </c>
      <c r="F48" s="35"/>
      <c r="G48" s="54"/>
      <c r="H48" s="277"/>
      <c r="K48" s="11"/>
      <c r="L48" s="13"/>
      <c r="M48" s="41"/>
      <c r="N48" s="107"/>
      <c r="O48" s="37"/>
      <c r="P48" s="38"/>
      <c r="Q48" s="41"/>
      <c r="R48" s="107"/>
      <c r="S48" s="37"/>
      <c r="T48" s="42"/>
      <c r="U48" s="41"/>
      <c r="V48" s="107"/>
      <c r="W48" s="12"/>
    </row>
    <row r="49" spans="2:23" ht="12" customHeight="1" thickBot="1">
      <c r="B49" s="46"/>
      <c r="C49" s="40"/>
      <c r="D49" s="40"/>
      <c r="E49" s="41"/>
      <c r="F49" s="40"/>
      <c r="G49" s="55"/>
      <c r="H49" s="278"/>
      <c r="K49" s="11"/>
      <c r="L49" s="13"/>
      <c r="M49" s="65" t="s">
        <v>119</v>
      </c>
      <c r="N49" s="277"/>
      <c r="P49" s="38"/>
      <c r="Q49" s="36" t="s">
        <v>120</v>
      </c>
      <c r="R49" s="111"/>
      <c r="S49" s="37"/>
      <c r="T49" s="38" t="s">
        <v>121</v>
      </c>
      <c r="U49" s="36" t="s">
        <v>122</v>
      </c>
      <c r="V49" s="277"/>
    </row>
    <row r="50" spans="2:23" ht="12" customHeight="1" thickTop="1" thickBot="1">
      <c r="B50" s="44" t="s">
        <v>285</v>
      </c>
      <c r="C50" s="35"/>
      <c r="D50" s="35"/>
      <c r="E50" s="36" t="s">
        <v>66</v>
      </c>
      <c r="F50" s="12"/>
      <c r="G50" s="12"/>
      <c r="H50" s="296"/>
      <c r="K50" s="11"/>
      <c r="L50" s="13"/>
      <c r="M50" s="66" t="s">
        <v>104</v>
      </c>
      <c r="N50" s="278"/>
      <c r="P50" s="38"/>
      <c r="Q50" s="41"/>
      <c r="R50" s="107"/>
      <c r="S50" s="37"/>
      <c r="T50" s="38"/>
      <c r="U50" s="41"/>
      <c r="V50" s="278"/>
    </row>
    <row r="51" spans="2:23" ht="12" customHeight="1" thickTop="1">
      <c r="B51" s="11" t="s">
        <v>123</v>
      </c>
      <c r="C51" s="12"/>
      <c r="D51" s="12"/>
      <c r="E51" s="17"/>
      <c r="F51" s="12"/>
      <c r="G51" s="12"/>
      <c r="H51" s="277"/>
      <c r="K51" s="49" t="s">
        <v>299</v>
      </c>
      <c r="L51" s="50"/>
      <c r="M51" s="36" t="s">
        <v>115</v>
      </c>
      <c r="N51" s="296"/>
      <c r="P51" s="38"/>
      <c r="Q51" s="17" t="s">
        <v>124</v>
      </c>
      <c r="R51" s="277"/>
      <c r="T51" s="38"/>
      <c r="U51" s="17" t="s">
        <v>125</v>
      </c>
      <c r="V51" s="296"/>
    </row>
    <row r="52" spans="2:23" ht="12" customHeight="1" thickBot="1">
      <c r="B52" s="46" t="s">
        <v>286</v>
      </c>
      <c r="C52" s="40"/>
      <c r="D52" s="40"/>
      <c r="E52" s="41"/>
      <c r="F52" s="12"/>
      <c r="G52" s="12"/>
      <c r="H52" s="278"/>
      <c r="K52" s="11"/>
      <c r="L52" s="13"/>
      <c r="M52" s="41"/>
      <c r="N52" s="278"/>
      <c r="P52" s="42"/>
      <c r="Q52" s="41" t="s">
        <v>126</v>
      </c>
      <c r="R52" s="277"/>
      <c r="T52" s="42"/>
      <c r="U52" s="41" t="s">
        <v>104</v>
      </c>
      <c r="V52" s="278"/>
    </row>
    <row r="53" spans="2:23" ht="12" customHeight="1" thickTop="1">
      <c r="B53" s="44" t="s">
        <v>127</v>
      </c>
      <c r="C53" s="35"/>
      <c r="D53" s="35"/>
      <c r="E53" s="36" t="s">
        <v>128</v>
      </c>
      <c r="F53" s="35"/>
      <c r="G53" s="54"/>
      <c r="H53" s="296"/>
      <c r="K53" s="11"/>
      <c r="L53" s="13"/>
      <c r="M53" s="36" t="s">
        <v>129</v>
      </c>
      <c r="N53" s="296"/>
      <c r="P53" s="38" t="s">
        <v>130</v>
      </c>
      <c r="Q53" s="17" t="s">
        <v>22</v>
      </c>
      <c r="R53" s="111"/>
      <c r="S53" s="37"/>
      <c r="T53" s="38" t="s">
        <v>131</v>
      </c>
      <c r="U53" s="17" t="s">
        <v>132</v>
      </c>
      <c r="V53" s="296"/>
    </row>
    <row r="54" spans="2:23" ht="12" customHeight="1" thickBot="1">
      <c r="B54" s="11"/>
      <c r="C54" s="12"/>
      <c r="D54" s="12"/>
      <c r="E54" s="41"/>
      <c r="F54" s="40"/>
      <c r="G54" s="55"/>
      <c r="H54" s="278"/>
      <c r="K54" s="46"/>
      <c r="L54" s="48"/>
      <c r="M54" s="41" t="s">
        <v>104</v>
      </c>
      <c r="N54" s="277"/>
      <c r="P54" s="42"/>
      <c r="Q54" s="41"/>
      <c r="R54" s="107"/>
      <c r="S54" s="37"/>
      <c r="T54" s="38"/>
      <c r="U54" s="17" t="s">
        <v>133</v>
      </c>
      <c r="V54" s="278"/>
    </row>
    <row r="55" spans="2:23" ht="12" customHeight="1" thickTop="1">
      <c r="B55" s="11"/>
      <c r="C55" s="12"/>
      <c r="D55" s="12"/>
      <c r="E55" s="36" t="s">
        <v>66</v>
      </c>
      <c r="F55" s="12"/>
      <c r="G55" s="12"/>
      <c r="H55" s="296"/>
      <c r="K55" s="33" t="s">
        <v>287</v>
      </c>
      <c r="L55" s="34"/>
      <c r="M55" s="51" t="s">
        <v>134</v>
      </c>
      <c r="N55" s="111"/>
      <c r="O55" s="37"/>
      <c r="P55" s="45" t="s">
        <v>135</v>
      </c>
      <c r="Q55" s="36" t="s">
        <v>136</v>
      </c>
      <c r="R55" s="37"/>
      <c r="S55" s="37"/>
      <c r="T55" s="45" t="s">
        <v>137</v>
      </c>
      <c r="U55" s="36" t="s">
        <v>66</v>
      </c>
      <c r="V55" s="296"/>
    </row>
    <row r="56" spans="2:23" ht="12" customHeight="1" thickBot="1">
      <c r="B56" s="46"/>
      <c r="C56" s="40"/>
      <c r="D56" s="40"/>
      <c r="E56" s="41"/>
      <c r="F56" s="12"/>
      <c r="G56" s="12"/>
      <c r="H56" s="278"/>
      <c r="K56" s="11"/>
      <c r="L56" s="12"/>
      <c r="M56" s="41"/>
      <c r="N56" s="107"/>
      <c r="O56" s="37"/>
      <c r="P56" s="42"/>
      <c r="Q56" s="41"/>
      <c r="R56" s="107"/>
      <c r="S56" s="37"/>
      <c r="T56" s="42"/>
      <c r="U56" s="41"/>
      <c r="V56" s="277"/>
    </row>
    <row r="57" spans="2:23" ht="12" customHeight="1" thickTop="1">
      <c r="B57" s="45" t="s">
        <v>288</v>
      </c>
      <c r="C57" s="35"/>
      <c r="D57" s="35"/>
      <c r="E57" s="36" t="s">
        <v>138</v>
      </c>
      <c r="F57" s="35"/>
      <c r="G57" s="54"/>
      <c r="H57" s="296"/>
      <c r="K57" s="11"/>
      <c r="L57" s="12"/>
      <c r="M57" s="36" t="s">
        <v>139</v>
      </c>
      <c r="N57" s="37"/>
      <c r="O57" s="37"/>
      <c r="P57" s="45" t="s">
        <v>140</v>
      </c>
      <c r="Q57" s="36" t="s">
        <v>141</v>
      </c>
      <c r="R57" s="111"/>
      <c r="S57" s="37"/>
      <c r="T57" s="38" t="s">
        <v>142</v>
      </c>
      <c r="U57" s="17" t="s">
        <v>143</v>
      </c>
      <c r="V57" s="111"/>
      <c r="W57" s="12"/>
    </row>
    <row r="58" spans="2:23" ht="12" customHeight="1" thickBot="1">
      <c r="B58" s="11"/>
      <c r="C58" s="12"/>
      <c r="D58" s="12"/>
      <c r="E58" s="17"/>
      <c r="F58" s="40"/>
      <c r="G58" s="55"/>
      <c r="H58" s="278"/>
      <c r="K58" s="11"/>
      <c r="L58" s="12"/>
      <c r="M58" s="41"/>
      <c r="N58" s="107"/>
      <c r="O58" s="37"/>
      <c r="P58" s="42"/>
      <c r="Q58" s="41"/>
      <c r="R58" s="107"/>
      <c r="S58" s="37"/>
      <c r="T58" s="38"/>
      <c r="U58" s="17"/>
      <c r="V58" s="107"/>
      <c r="W58" s="12"/>
    </row>
    <row r="59" spans="2:23" ht="12" customHeight="1" thickTop="1">
      <c r="B59" s="44"/>
      <c r="C59" s="35"/>
      <c r="D59" s="35"/>
      <c r="E59" s="35"/>
      <c r="F59" s="12"/>
      <c r="G59" s="12"/>
      <c r="H59" s="67"/>
      <c r="K59" s="11"/>
      <c r="L59" s="12"/>
      <c r="M59" s="36" t="s">
        <v>144</v>
      </c>
      <c r="N59" s="37"/>
      <c r="O59" s="37"/>
      <c r="P59" s="45"/>
      <c r="Q59" s="36" t="s">
        <v>145</v>
      </c>
      <c r="R59" s="277"/>
      <c r="T59" s="45"/>
      <c r="U59" s="51"/>
      <c r="V59" s="68"/>
    </row>
    <row r="60" spans="2:23" ht="12" customHeight="1" thickBot="1">
      <c r="B60" s="21"/>
      <c r="C60" s="22"/>
      <c r="D60" s="22"/>
      <c r="E60" s="22"/>
      <c r="F60" s="22"/>
      <c r="G60" s="22"/>
      <c r="H60" s="26"/>
      <c r="K60" s="21"/>
      <c r="L60" s="22"/>
      <c r="M60" s="25" t="s">
        <v>289</v>
      </c>
      <c r="N60" s="107"/>
      <c r="O60" s="37"/>
      <c r="P60" s="56"/>
      <c r="Q60" s="57"/>
      <c r="R60" s="278"/>
      <c r="T60" s="56"/>
      <c r="U60" s="69"/>
      <c r="V60" s="70"/>
    </row>
    <row r="61" spans="2:23" ht="6.95" customHeight="1">
      <c r="B61" s="12"/>
      <c r="C61" s="12"/>
      <c r="D61" s="12"/>
      <c r="E61" s="12"/>
      <c r="F61" s="12"/>
      <c r="G61" s="12"/>
      <c r="H61" s="12"/>
      <c r="L61" s="12"/>
      <c r="M61" s="12"/>
      <c r="N61" s="12"/>
      <c r="P61" s="12"/>
      <c r="Q61" s="12"/>
      <c r="R61" s="12"/>
      <c r="T61" s="12"/>
      <c r="U61" s="12"/>
      <c r="V61" s="71"/>
    </row>
    <row r="62" spans="2:23" ht="12" customHeight="1">
      <c r="B62" s="1" t="s">
        <v>252</v>
      </c>
    </row>
    <row r="63" spans="2:23" ht="6.95" customHeight="1" thickBot="1"/>
    <row r="64" spans="2:23" ht="14.1" customHeight="1">
      <c r="C64" s="279" t="s">
        <v>146</v>
      </c>
      <c r="D64" s="280"/>
      <c r="E64" s="280"/>
      <c r="F64" s="281"/>
      <c r="I64" s="282" t="s">
        <v>147</v>
      </c>
      <c r="J64" s="283"/>
      <c r="K64" s="283"/>
      <c r="L64" s="284"/>
      <c r="M64" s="2" t="s">
        <v>164</v>
      </c>
      <c r="N64" s="3"/>
      <c r="O64" s="3"/>
      <c r="P64" s="3"/>
      <c r="Q64" s="3"/>
      <c r="R64" s="3"/>
      <c r="S64" s="3"/>
      <c r="T64" s="288" t="s">
        <v>148</v>
      </c>
      <c r="U64" s="289" t="s">
        <v>165</v>
      </c>
    </row>
    <row r="65" spans="3:21" ht="6.95" customHeight="1">
      <c r="C65" s="255" t="s">
        <v>149</v>
      </c>
      <c r="D65" s="255" t="s">
        <v>300</v>
      </c>
      <c r="E65" s="255" t="s">
        <v>150</v>
      </c>
      <c r="F65" s="255" t="s">
        <v>301</v>
      </c>
      <c r="I65" s="285"/>
      <c r="J65" s="286"/>
      <c r="K65" s="286"/>
      <c r="L65" s="287"/>
      <c r="M65" s="11"/>
      <c r="N65" s="12"/>
      <c r="O65" s="12"/>
      <c r="P65" s="12"/>
      <c r="Q65" s="12"/>
      <c r="R65" s="12"/>
      <c r="S65" s="12"/>
      <c r="T65" s="270"/>
      <c r="U65" s="290"/>
    </row>
    <row r="66" spans="3:21" ht="6.95" customHeight="1">
      <c r="C66" s="255"/>
      <c r="D66" s="255"/>
      <c r="E66" s="255"/>
      <c r="F66" s="255"/>
      <c r="I66" s="291" t="s">
        <v>151</v>
      </c>
      <c r="J66" s="292"/>
      <c r="K66" s="292"/>
      <c r="L66" s="293"/>
      <c r="M66" s="264" t="str">
        <f>VLOOKUP(X2,車両一覧!B2:N206,12,0)</f>
        <v>愛知県西尾市吉良町吉田亥改13-3</v>
      </c>
      <c r="N66" s="265"/>
      <c r="O66" s="265"/>
      <c r="P66" s="265"/>
      <c r="Q66" s="265"/>
      <c r="R66" s="12"/>
      <c r="S66" s="12"/>
      <c r="T66" s="251" t="s">
        <v>152</v>
      </c>
      <c r="U66" s="271"/>
    </row>
    <row r="67" spans="3:21" ht="14.1" customHeight="1">
      <c r="C67" s="72" t="s">
        <v>153</v>
      </c>
      <c r="D67" s="72" t="s">
        <v>302</v>
      </c>
      <c r="E67" s="72" t="s">
        <v>154</v>
      </c>
      <c r="F67" s="72" t="s">
        <v>303</v>
      </c>
      <c r="I67" s="273"/>
      <c r="J67" s="294"/>
      <c r="K67" s="294"/>
      <c r="L67" s="295"/>
      <c r="M67" s="264"/>
      <c r="N67" s="265"/>
      <c r="O67" s="265"/>
      <c r="P67" s="265"/>
      <c r="Q67" s="265"/>
      <c r="R67" s="12"/>
      <c r="S67" s="12"/>
      <c r="T67" s="270"/>
      <c r="U67" s="272"/>
    </row>
    <row r="68" spans="3:21" ht="14.1" customHeight="1">
      <c r="C68" s="72" t="s">
        <v>155</v>
      </c>
      <c r="D68" s="72" t="s">
        <v>304</v>
      </c>
      <c r="E68" s="72" t="s">
        <v>156</v>
      </c>
      <c r="F68" s="72" t="s">
        <v>305</v>
      </c>
      <c r="I68" s="256" t="s">
        <v>306</v>
      </c>
      <c r="J68" s="257"/>
      <c r="K68" s="260" t="s">
        <v>307</v>
      </c>
      <c r="L68" s="261"/>
      <c r="M68" s="264" t="str">
        <f>VLOOKUP(X2,車両一覧!B2:N206,11,0)</f>
        <v>セブン通商　株式会社</v>
      </c>
      <c r="N68" s="265"/>
      <c r="O68" s="265"/>
      <c r="P68" s="268" t="str">
        <f>VLOOKUP(X2,車両一覧!B2:N206,13,0)</f>
        <v>代表取締役　小寺　淳史</v>
      </c>
      <c r="Q68" s="268"/>
      <c r="R68" s="12"/>
      <c r="S68" s="12"/>
      <c r="T68" s="251" t="s">
        <v>157</v>
      </c>
      <c r="U68" s="271"/>
    </row>
    <row r="69" spans="3:21" ht="6.95" customHeight="1">
      <c r="C69" s="255" t="s">
        <v>158</v>
      </c>
      <c r="D69" s="255" t="s">
        <v>290</v>
      </c>
      <c r="E69" s="255" t="s">
        <v>159</v>
      </c>
      <c r="F69" s="255" t="s">
        <v>308</v>
      </c>
      <c r="I69" s="273"/>
      <c r="J69" s="274"/>
      <c r="K69" s="275"/>
      <c r="L69" s="276"/>
      <c r="M69" s="264"/>
      <c r="N69" s="265"/>
      <c r="O69" s="265"/>
      <c r="P69" s="268"/>
      <c r="Q69" s="268"/>
      <c r="R69" s="12"/>
      <c r="S69" s="12"/>
      <c r="T69" s="270"/>
      <c r="U69" s="272"/>
    </row>
    <row r="70" spans="3:21" ht="6.95" customHeight="1">
      <c r="C70" s="255"/>
      <c r="D70" s="255"/>
      <c r="E70" s="255"/>
      <c r="F70" s="255"/>
      <c r="I70" s="256" t="s">
        <v>309</v>
      </c>
      <c r="J70" s="257"/>
      <c r="K70" s="260" t="s">
        <v>310</v>
      </c>
      <c r="L70" s="261"/>
      <c r="M70" s="264"/>
      <c r="N70" s="265"/>
      <c r="O70" s="265"/>
      <c r="P70" s="268"/>
      <c r="Q70" s="268"/>
      <c r="R70" s="12"/>
      <c r="S70" s="12"/>
      <c r="T70" s="251" t="s">
        <v>160</v>
      </c>
      <c r="U70" s="253"/>
    </row>
    <row r="71" spans="3:21" ht="14.1" customHeight="1" thickBot="1">
      <c r="C71" s="72" t="s">
        <v>161</v>
      </c>
      <c r="D71" s="73"/>
      <c r="E71" s="72"/>
      <c r="F71" s="72"/>
      <c r="I71" s="258"/>
      <c r="J71" s="259"/>
      <c r="K71" s="262"/>
      <c r="L71" s="263"/>
      <c r="M71" s="266"/>
      <c r="N71" s="267"/>
      <c r="O71" s="267"/>
      <c r="P71" s="269"/>
      <c r="Q71" s="269"/>
      <c r="R71" s="22"/>
      <c r="S71" s="22"/>
      <c r="T71" s="252"/>
      <c r="U71" s="254"/>
    </row>
  </sheetData>
  <mergeCells count="89">
    <mergeCell ref="M2:P2"/>
    <mergeCell ref="M4:P4"/>
    <mergeCell ref="K6:L6"/>
    <mergeCell ref="K7:L7"/>
    <mergeCell ref="R7:R8"/>
    <mergeCell ref="K8:L8"/>
    <mergeCell ref="H9:H10"/>
    <mergeCell ref="V9:V10"/>
    <mergeCell ref="H11:H12"/>
    <mergeCell ref="N11:N12"/>
    <mergeCell ref="V11:V12"/>
    <mergeCell ref="H13:H14"/>
    <mergeCell ref="K13:L13"/>
    <mergeCell ref="N13:N14"/>
    <mergeCell ref="V13:V14"/>
    <mergeCell ref="K15:L15"/>
    <mergeCell ref="V15:V16"/>
    <mergeCell ref="K16:L16"/>
    <mergeCell ref="H17:H18"/>
    <mergeCell ref="V17:V18"/>
    <mergeCell ref="N19:N20"/>
    <mergeCell ref="V19:V20"/>
    <mergeCell ref="H21:H22"/>
    <mergeCell ref="K21:L21"/>
    <mergeCell ref="V21:V22"/>
    <mergeCell ref="K22:L22"/>
    <mergeCell ref="R23:R24"/>
    <mergeCell ref="V23:V24"/>
    <mergeCell ref="N25:N26"/>
    <mergeCell ref="R25:R26"/>
    <mergeCell ref="V25:V26"/>
    <mergeCell ref="H27:H28"/>
    <mergeCell ref="N27:N28"/>
    <mergeCell ref="R27:R28"/>
    <mergeCell ref="V27:V28"/>
    <mergeCell ref="K29:L29"/>
    <mergeCell ref="N29:N30"/>
    <mergeCell ref="K30:L30"/>
    <mergeCell ref="K31:L31"/>
    <mergeCell ref="K33:L33"/>
    <mergeCell ref="V34:V35"/>
    <mergeCell ref="N37:N38"/>
    <mergeCell ref="R37:R38"/>
    <mergeCell ref="N41:N42"/>
    <mergeCell ref="V41:V42"/>
    <mergeCell ref="H43:H45"/>
    <mergeCell ref="N43:N44"/>
    <mergeCell ref="V43:V44"/>
    <mergeCell ref="V45:V46"/>
    <mergeCell ref="H48:H49"/>
    <mergeCell ref="N49:N50"/>
    <mergeCell ref="V49:V50"/>
    <mergeCell ref="H50:H52"/>
    <mergeCell ref="N51:N52"/>
    <mergeCell ref="R51:R52"/>
    <mergeCell ref="V51:V52"/>
    <mergeCell ref="H53:H54"/>
    <mergeCell ref="N53:N54"/>
    <mergeCell ref="V53:V54"/>
    <mergeCell ref="H55:H56"/>
    <mergeCell ref="V55:V56"/>
    <mergeCell ref="H57:H58"/>
    <mergeCell ref="R59:R60"/>
    <mergeCell ref="C64:F64"/>
    <mergeCell ref="I64:L65"/>
    <mergeCell ref="T64:T65"/>
    <mergeCell ref="U64:U65"/>
    <mergeCell ref="C65:C66"/>
    <mergeCell ref="D65:D66"/>
    <mergeCell ref="E65:E66"/>
    <mergeCell ref="F65:F66"/>
    <mergeCell ref="I66:L67"/>
    <mergeCell ref="T66:T67"/>
    <mergeCell ref="U66:U67"/>
    <mergeCell ref="I68:J69"/>
    <mergeCell ref="K68:L69"/>
    <mergeCell ref="T68:T69"/>
    <mergeCell ref="U68:U69"/>
    <mergeCell ref="M66:Q67"/>
    <mergeCell ref="T70:T71"/>
    <mergeCell ref="U70:U71"/>
    <mergeCell ref="C69:C70"/>
    <mergeCell ref="D69:D70"/>
    <mergeCell ref="E69:E70"/>
    <mergeCell ref="F69:F70"/>
    <mergeCell ref="I70:J71"/>
    <mergeCell ref="K70:L71"/>
    <mergeCell ref="M68:O71"/>
    <mergeCell ref="P68:Q71"/>
  </mergeCells>
  <phoneticPr fontId="1"/>
  <pageMargins left="0.39370078740157483" right="0.39370078740157483" top="0.39370078740157483" bottom="0.39370078740157483" header="0.51181102362204722" footer="0.51181102362204722"/>
  <pageSetup paperSize="9" scale="68" orientation="landscape" r:id="rId1"/>
  <headerFooter alignWithMargins="0"/>
</worksheet>
</file>

<file path=xl/worksheets/sheet4.xml><?xml version="1.0" encoding="utf-8"?>
<worksheet xmlns="http://schemas.openxmlformats.org/spreadsheetml/2006/main" xmlns:r="http://schemas.openxmlformats.org/officeDocument/2006/relationships">
  <sheetPr codeName="Sheet4"/>
  <dimension ref="A1:AD71"/>
  <sheetViews>
    <sheetView view="pageBreakPreview" zoomScale="70" zoomScaleNormal="85" workbookViewId="0">
      <selection activeCell="R2" sqref="R2:S2"/>
    </sheetView>
  </sheetViews>
  <sheetFormatPr defaultRowHeight="14.1" customHeight="1"/>
  <cols>
    <col min="1" max="1" width="9" style="1"/>
    <col min="2" max="2" width="5.625" style="1" customWidth="1"/>
    <col min="3" max="3" width="7.625" style="1" customWidth="1"/>
    <col min="4" max="4" width="4.625" style="1" customWidth="1"/>
    <col min="5" max="5" width="7.625" style="1" customWidth="1"/>
    <col min="6" max="6" width="4.625" style="1" customWidth="1"/>
    <col min="7" max="7" width="12.125" style="1" customWidth="1"/>
    <col min="8" max="8" width="6.125" style="1" customWidth="1"/>
    <col min="9" max="9" width="2.625" style="1" customWidth="1"/>
    <col min="10" max="10" width="2.125" style="1" customWidth="1"/>
    <col min="11" max="11" width="4.625" style="1" customWidth="1"/>
    <col min="12" max="12" width="12.625" style="1" customWidth="1"/>
    <col min="13" max="13" width="6.375" style="1" customWidth="1"/>
    <col min="14" max="14" width="18.375" style="1" customWidth="1"/>
    <col min="15" max="15" width="6.125" style="1" customWidth="1"/>
    <col min="16" max="16" width="4.125" style="1" customWidth="1"/>
    <col min="17" max="17" width="16.625" style="1" customWidth="1"/>
    <col min="18" max="18" width="6.375" style="1" customWidth="1"/>
    <col min="19" max="19" width="17.875" style="1" customWidth="1"/>
    <col min="20" max="20" width="6.125" style="1" customWidth="1"/>
    <col min="21" max="21" width="4.125" style="1" customWidth="1"/>
    <col min="22" max="22" width="16.625" style="1" customWidth="1"/>
    <col min="23" max="23" width="23.125" style="1" customWidth="1"/>
    <col min="24" max="24" width="6.125" style="1" customWidth="1"/>
    <col min="25" max="16384" width="9" style="1"/>
  </cols>
  <sheetData>
    <row r="1" spans="1:26" ht="14.1" customHeight="1" thickBot="1">
      <c r="A1" s="1" t="s">
        <v>0</v>
      </c>
      <c r="N1" s="2" t="s">
        <v>1</v>
      </c>
      <c r="O1" s="3"/>
      <c r="P1" s="3"/>
      <c r="Q1" s="4"/>
      <c r="R1" s="335" t="s">
        <v>343</v>
      </c>
      <c r="S1" s="283"/>
      <c r="T1" s="5"/>
      <c r="U1" s="6"/>
      <c r="V1" s="7" t="s">
        <v>311</v>
      </c>
      <c r="W1" s="29" t="s">
        <v>316</v>
      </c>
      <c r="X1" s="84"/>
      <c r="Z1" s="90" t="s">
        <v>345</v>
      </c>
    </row>
    <row r="2" spans="1:26" ht="27.95" customHeight="1" thickBot="1">
      <c r="A2" s="8" t="s">
        <v>2</v>
      </c>
      <c r="J2" s="9"/>
      <c r="K2" s="10"/>
      <c r="L2" s="1" t="s">
        <v>3</v>
      </c>
      <c r="N2" s="304" t="str">
        <f>VLOOKUP(Z2,車両一覧!B2:N206,11,0)</f>
        <v>セブン通商　株式会社</v>
      </c>
      <c r="O2" s="305"/>
      <c r="P2" s="305"/>
      <c r="Q2" s="306"/>
      <c r="R2" s="336" t="str">
        <f>VLOOKUP(Z2,車両一覧!B2:N206,4,0)</f>
        <v>三河100か9756</v>
      </c>
      <c r="S2" s="337"/>
      <c r="T2" s="14"/>
      <c r="U2" s="15"/>
      <c r="V2" s="85" t="str">
        <f>VLOOKUP(Z2,車両一覧!B2:N206,5,0)</f>
        <v>ニッサンディーゼル</v>
      </c>
      <c r="W2" s="86" t="str">
        <f>VLOOKUP(Z2,車両一覧!B2:N206,7,0)</f>
        <v>平成20年7月</v>
      </c>
      <c r="X2" s="18"/>
      <c r="Z2" s="91">
        <v>9756</v>
      </c>
    </row>
    <row r="3" spans="1:26" ht="14.1" customHeight="1" thickBot="1">
      <c r="N3" s="11" t="s">
        <v>4</v>
      </c>
      <c r="O3" s="12"/>
      <c r="P3" s="12"/>
      <c r="Q3" s="13"/>
      <c r="R3" s="338" t="s">
        <v>344</v>
      </c>
      <c r="S3" s="339"/>
      <c r="T3" s="14"/>
      <c r="U3" s="15"/>
      <c r="V3" s="16" t="s">
        <v>312</v>
      </c>
      <c r="W3" s="87" t="s">
        <v>313</v>
      </c>
      <c r="X3" s="88"/>
    </row>
    <row r="4" spans="1:26" ht="27.95" customHeight="1" thickTop="1" thickBot="1">
      <c r="D4" s="74">
        <v>3</v>
      </c>
      <c r="E4" s="8" t="s">
        <v>5</v>
      </c>
      <c r="F4" s="8"/>
      <c r="G4" s="8"/>
      <c r="H4" s="19"/>
      <c r="I4" s="20" t="s">
        <v>254</v>
      </c>
      <c r="J4" s="9"/>
      <c r="K4" s="10"/>
      <c r="L4" s="1" t="s">
        <v>6</v>
      </c>
      <c r="N4" s="307" t="str">
        <f>VLOOKUP(Z2,車両一覧!B2:N206,12,0)</f>
        <v>愛知県西尾市吉良町吉田亥改13-3</v>
      </c>
      <c r="O4" s="308"/>
      <c r="P4" s="308"/>
      <c r="Q4" s="309"/>
      <c r="R4" s="340" t="str">
        <f>VLOOKUP(Z2,車両一覧!B2:N206,9,0)</f>
        <v>GW4XLG-20352</v>
      </c>
      <c r="S4" s="308"/>
      <c r="T4" s="23"/>
      <c r="U4" s="24"/>
      <c r="V4" s="81" t="str">
        <f>VLOOKUP(Z2,車両一覧!B2:N206,6,0)</f>
        <v>GE13</v>
      </c>
      <c r="W4" s="25"/>
      <c r="X4" s="26"/>
    </row>
    <row r="5" spans="1:26" ht="17.100000000000001" customHeight="1" thickTop="1" thickBot="1">
      <c r="B5" s="27" t="s">
        <v>7</v>
      </c>
      <c r="C5" s="27"/>
      <c r="D5" s="27"/>
    </row>
    <row r="6" spans="1:26" ht="12" customHeight="1" thickBot="1">
      <c r="B6" s="28" t="s">
        <v>8</v>
      </c>
      <c r="C6" s="5"/>
      <c r="D6" s="6"/>
      <c r="E6" s="7" t="s">
        <v>9</v>
      </c>
      <c r="F6" s="29"/>
      <c r="G6" s="6"/>
      <c r="H6" s="166"/>
      <c r="K6" s="282" t="s">
        <v>8</v>
      </c>
      <c r="L6" s="310"/>
      <c r="M6" s="344" t="s">
        <v>9</v>
      </c>
      <c r="N6" s="345"/>
      <c r="O6" s="166"/>
      <c r="Q6" s="28" t="s">
        <v>8</v>
      </c>
      <c r="R6" s="341" t="s">
        <v>9</v>
      </c>
      <c r="S6" s="342"/>
      <c r="T6" s="30"/>
      <c r="V6" s="28" t="s">
        <v>8</v>
      </c>
      <c r="W6" s="7" t="s">
        <v>9</v>
      </c>
      <c r="X6" s="30"/>
    </row>
    <row r="7" spans="1:26" ht="12" customHeight="1" thickTop="1">
      <c r="B7" s="31" t="s">
        <v>69</v>
      </c>
      <c r="C7" s="32"/>
      <c r="D7" s="32"/>
      <c r="E7" s="12"/>
      <c r="F7" s="12"/>
      <c r="G7" s="12"/>
      <c r="H7" s="108"/>
      <c r="K7" s="302" t="s">
        <v>75</v>
      </c>
      <c r="L7" s="303"/>
      <c r="M7" s="61"/>
      <c r="N7" s="35"/>
      <c r="O7" s="108"/>
      <c r="P7" s="37"/>
      <c r="Q7" s="38"/>
      <c r="R7" s="322" t="s">
        <v>679</v>
      </c>
      <c r="S7" s="343"/>
      <c r="T7" s="296"/>
      <c r="V7" s="39"/>
      <c r="W7" s="17"/>
      <c r="X7" s="108"/>
    </row>
    <row r="8" spans="1:26" ht="12" customHeight="1" thickBot="1">
      <c r="B8" s="46"/>
      <c r="C8" s="40"/>
      <c r="D8" s="40"/>
      <c r="E8" s="40"/>
      <c r="F8" s="40"/>
      <c r="G8" s="40"/>
      <c r="H8" s="26"/>
      <c r="K8" s="46"/>
      <c r="L8" s="40"/>
      <c r="M8" s="40"/>
      <c r="N8" s="40"/>
      <c r="O8" s="18"/>
      <c r="P8" s="37"/>
      <c r="Q8" s="42"/>
      <c r="R8" s="311" t="s">
        <v>680</v>
      </c>
      <c r="S8" s="312"/>
      <c r="T8" s="277"/>
      <c r="V8" s="11"/>
      <c r="W8" s="12"/>
      <c r="X8" s="18"/>
    </row>
    <row r="9" spans="1:26" ht="12" customHeight="1" thickTop="1">
      <c r="B9" s="44" t="s">
        <v>272</v>
      </c>
      <c r="C9" s="32"/>
      <c r="D9" s="32"/>
      <c r="E9" s="36" t="s">
        <v>81</v>
      </c>
      <c r="F9" s="12"/>
      <c r="G9" s="12"/>
      <c r="H9" s="327"/>
      <c r="K9" s="11" t="s">
        <v>646</v>
      </c>
      <c r="L9" s="13"/>
      <c r="M9" s="322" t="s">
        <v>647</v>
      </c>
      <c r="N9" s="323"/>
      <c r="O9" s="296"/>
      <c r="P9" s="37"/>
      <c r="Q9" s="38"/>
      <c r="R9" s="311" t="s">
        <v>681</v>
      </c>
      <c r="S9" s="312"/>
      <c r="T9" s="296"/>
      <c r="U9" s="37"/>
      <c r="V9" s="45"/>
      <c r="W9" s="36"/>
      <c r="X9" s="296"/>
    </row>
    <row r="10" spans="1:26" ht="12" customHeight="1" thickBot="1">
      <c r="B10" s="11"/>
      <c r="C10" s="12"/>
      <c r="D10" s="12"/>
      <c r="E10" s="41"/>
      <c r="F10" s="12"/>
      <c r="G10" s="12"/>
      <c r="H10" s="328"/>
      <c r="K10" s="11"/>
      <c r="L10" s="13"/>
      <c r="M10" s="346"/>
      <c r="N10" s="293"/>
      <c r="O10" s="278"/>
      <c r="P10" s="37"/>
      <c r="Q10" s="38"/>
      <c r="R10" s="346"/>
      <c r="S10" s="354"/>
      <c r="T10" s="277"/>
      <c r="U10" s="37"/>
      <c r="V10" s="38"/>
      <c r="W10" s="47"/>
      <c r="X10" s="278"/>
    </row>
    <row r="11" spans="1:26" ht="12" customHeight="1" thickTop="1">
      <c r="B11" s="44" t="s">
        <v>87</v>
      </c>
      <c r="C11" s="35"/>
      <c r="D11" s="53"/>
      <c r="E11" s="36" t="s">
        <v>88</v>
      </c>
      <c r="F11" s="35"/>
      <c r="G11" s="35"/>
      <c r="H11" s="37"/>
      <c r="K11" s="11"/>
      <c r="L11" s="13"/>
      <c r="M11" s="311" t="s">
        <v>648</v>
      </c>
      <c r="N11" s="312"/>
      <c r="O11" s="313"/>
      <c r="Q11" s="38"/>
      <c r="R11" s="311" t="s">
        <v>682</v>
      </c>
      <c r="S11" s="312"/>
      <c r="T11" s="296"/>
      <c r="U11" s="37"/>
      <c r="V11" s="38"/>
      <c r="W11" s="17"/>
      <c r="X11" s="296"/>
    </row>
    <row r="12" spans="1:26" ht="12" customHeight="1" thickBot="1">
      <c r="B12" s="11"/>
      <c r="C12" s="12"/>
      <c r="D12" s="13"/>
      <c r="E12" s="41"/>
      <c r="F12" s="40"/>
      <c r="G12" s="40"/>
      <c r="H12" s="107"/>
      <c r="K12" s="46"/>
      <c r="L12" s="48"/>
      <c r="M12" s="347"/>
      <c r="N12" s="348"/>
      <c r="O12" s="278"/>
      <c r="Q12" s="42"/>
      <c r="R12" s="315" t="s">
        <v>628</v>
      </c>
      <c r="S12" s="316"/>
      <c r="T12" s="277"/>
      <c r="U12" s="37"/>
      <c r="V12" s="42"/>
      <c r="W12" s="41"/>
      <c r="X12" s="278"/>
    </row>
    <row r="13" spans="1:26" ht="12" customHeight="1" thickTop="1">
      <c r="B13" s="11"/>
      <c r="C13" s="12"/>
      <c r="D13" s="13"/>
      <c r="E13" s="36" t="s">
        <v>81</v>
      </c>
      <c r="F13" s="35"/>
      <c r="G13" s="35"/>
      <c r="H13" s="37"/>
      <c r="K13" s="285" t="s">
        <v>274</v>
      </c>
      <c r="L13" s="301"/>
      <c r="M13" s="351" t="s">
        <v>650</v>
      </c>
      <c r="N13" s="176" t="s">
        <v>651</v>
      </c>
      <c r="O13" s="296"/>
      <c r="Q13" s="38" t="s">
        <v>257</v>
      </c>
      <c r="R13" s="322" t="s">
        <v>17</v>
      </c>
      <c r="S13" s="323"/>
      <c r="T13" s="111"/>
      <c r="U13" s="37"/>
      <c r="V13" s="38"/>
      <c r="W13" s="17"/>
      <c r="X13" s="296"/>
    </row>
    <row r="14" spans="1:26" ht="12" customHeight="1" thickBot="1">
      <c r="B14" s="11"/>
      <c r="C14" s="12"/>
      <c r="D14" s="13"/>
      <c r="E14" s="41"/>
      <c r="F14" s="40"/>
      <c r="G14" s="40"/>
      <c r="H14" s="107"/>
      <c r="K14" s="11"/>
      <c r="L14" s="13"/>
      <c r="M14" s="352"/>
      <c r="N14" s="47"/>
      <c r="O14" s="314"/>
      <c r="Q14" s="42"/>
      <c r="R14" s="40"/>
      <c r="S14" s="40"/>
      <c r="T14" s="107"/>
      <c r="U14" s="37"/>
      <c r="V14" s="38"/>
      <c r="W14" s="17"/>
      <c r="X14" s="278"/>
    </row>
    <row r="15" spans="1:26" ht="12" customHeight="1" thickTop="1">
      <c r="B15" s="11"/>
      <c r="C15" s="12"/>
      <c r="D15" s="13"/>
      <c r="E15" s="36" t="s">
        <v>622</v>
      </c>
      <c r="F15" s="35"/>
      <c r="G15" s="35"/>
      <c r="H15" s="296"/>
      <c r="I15" s="11"/>
      <c r="K15" s="285"/>
      <c r="L15" s="301"/>
      <c r="M15" s="352"/>
      <c r="N15" s="177" t="s">
        <v>652</v>
      </c>
      <c r="O15" s="296"/>
      <c r="P15" s="37"/>
      <c r="Q15" s="62" t="s">
        <v>683</v>
      </c>
      <c r="R15" s="187"/>
      <c r="S15" s="35"/>
      <c r="T15" s="18"/>
      <c r="U15" s="37"/>
      <c r="V15" s="38"/>
      <c r="W15" s="36"/>
      <c r="X15" s="296"/>
    </row>
    <row r="16" spans="1:26" ht="12" customHeight="1" thickBot="1">
      <c r="B16" s="11"/>
      <c r="C16" s="12"/>
      <c r="D16" s="13"/>
      <c r="E16" s="41"/>
      <c r="F16" s="40"/>
      <c r="G16" s="40"/>
      <c r="H16" s="277"/>
      <c r="I16" s="11"/>
      <c r="K16" s="285"/>
      <c r="L16" s="301"/>
      <c r="M16" s="352"/>
      <c r="N16" s="175"/>
      <c r="O16" s="314"/>
      <c r="P16" s="37"/>
      <c r="Q16" s="46"/>
      <c r="R16" s="41"/>
      <c r="S16" s="40"/>
      <c r="T16" s="26"/>
      <c r="U16" s="37"/>
      <c r="V16" s="38"/>
      <c r="W16" s="17"/>
      <c r="X16" s="278"/>
    </row>
    <row r="17" spans="2:25" ht="12" customHeight="1" thickTop="1">
      <c r="B17" s="11"/>
      <c r="C17" s="12"/>
      <c r="D17" s="13"/>
      <c r="E17" s="12" t="s">
        <v>623</v>
      </c>
      <c r="F17" s="12"/>
      <c r="G17" s="12"/>
      <c r="H17" s="296"/>
      <c r="K17" s="11"/>
      <c r="L17" s="13"/>
      <c r="M17" s="352"/>
      <c r="N17" s="177" t="s">
        <v>653</v>
      </c>
      <c r="O17" s="296"/>
      <c r="P17" s="37"/>
      <c r="Q17" s="11"/>
      <c r="R17" s="322" t="s">
        <v>134</v>
      </c>
      <c r="S17" s="323"/>
      <c r="T17" s="37"/>
      <c r="U17" s="37"/>
      <c r="V17" s="38"/>
      <c r="W17" s="36"/>
      <c r="X17" s="296"/>
    </row>
    <row r="18" spans="2:25" ht="12" customHeight="1" thickBot="1">
      <c r="B18" s="11"/>
      <c r="C18" s="12"/>
      <c r="D18" s="13"/>
      <c r="E18" s="17" t="s">
        <v>624</v>
      </c>
      <c r="F18" s="12"/>
      <c r="G18" s="12"/>
      <c r="H18" s="277"/>
      <c r="K18" s="11"/>
      <c r="L18" s="13"/>
      <c r="M18" s="352"/>
      <c r="N18" s="175"/>
      <c r="O18" s="314"/>
      <c r="P18" s="37"/>
      <c r="Q18" s="11"/>
      <c r="R18" s="17"/>
      <c r="S18" s="12"/>
      <c r="T18" s="107"/>
      <c r="U18" s="37"/>
      <c r="V18" s="38"/>
      <c r="W18" s="41"/>
      <c r="X18" s="278"/>
    </row>
    <row r="19" spans="2:25" ht="12" customHeight="1" thickTop="1">
      <c r="B19" s="44" t="s">
        <v>94</v>
      </c>
      <c r="C19" s="35"/>
      <c r="D19" s="53"/>
      <c r="E19" s="36" t="s">
        <v>95</v>
      </c>
      <c r="F19" s="35"/>
      <c r="G19" s="35"/>
      <c r="H19" s="111"/>
      <c r="I19" s="11"/>
      <c r="K19" s="11"/>
      <c r="L19" s="13"/>
      <c r="M19" s="352"/>
      <c r="N19" s="43" t="s">
        <v>654</v>
      </c>
      <c r="O19" s="296"/>
      <c r="Q19" s="11"/>
      <c r="R19" s="322" t="s">
        <v>684</v>
      </c>
      <c r="S19" s="323"/>
      <c r="T19" s="37"/>
      <c r="U19" s="37"/>
      <c r="V19" s="45"/>
      <c r="W19" s="36"/>
      <c r="X19" s="296"/>
    </row>
    <row r="20" spans="2:25" ht="12" customHeight="1" thickBot="1">
      <c r="B20" s="46"/>
      <c r="C20" s="40"/>
      <c r="D20" s="48"/>
      <c r="E20" s="41"/>
      <c r="F20" s="40"/>
      <c r="G20" s="40"/>
      <c r="H20" s="107"/>
      <c r="I20" s="11"/>
      <c r="K20" s="11"/>
      <c r="L20" s="13"/>
      <c r="M20" s="352"/>
      <c r="N20" s="47"/>
      <c r="O20" s="314"/>
      <c r="Q20" s="11"/>
      <c r="R20" s="17"/>
      <c r="S20" s="12"/>
      <c r="T20" s="107"/>
      <c r="U20" s="37"/>
      <c r="V20" s="38"/>
      <c r="W20" s="17"/>
      <c r="X20" s="278"/>
    </row>
    <row r="21" spans="2:25" ht="12" customHeight="1" thickTop="1">
      <c r="B21" s="11" t="s">
        <v>625</v>
      </c>
      <c r="C21" s="12"/>
      <c r="D21" s="13"/>
      <c r="E21" s="36" t="s">
        <v>626</v>
      </c>
      <c r="F21" s="12"/>
      <c r="G21" s="12"/>
      <c r="H21" s="296"/>
      <c r="K21" s="285"/>
      <c r="L21" s="301"/>
      <c r="M21" s="352"/>
      <c r="N21" s="177" t="s">
        <v>655</v>
      </c>
      <c r="O21" s="296"/>
      <c r="P21" s="37"/>
      <c r="Q21" s="11"/>
      <c r="R21" s="322" t="s">
        <v>673</v>
      </c>
      <c r="S21" s="323"/>
      <c r="T21" s="37"/>
      <c r="U21" s="37"/>
      <c r="V21" s="38"/>
      <c r="W21" s="36"/>
      <c r="X21" s="296"/>
    </row>
    <row r="22" spans="2:25" ht="12" customHeight="1" thickBot="1">
      <c r="B22" s="11"/>
      <c r="C22" s="12"/>
      <c r="D22" s="13"/>
      <c r="E22" s="41"/>
      <c r="F22" s="12"/>
      <c r="G22" s="12"/>
      <c r="H22" s="277"/>
      <c r="K22" s="285"/>
      <c r="L22" s="301"/>
      <c r="M22" s="353"/>
      <c r="N22" s="175" t="s">
        <v>656</v>
      </c>
      <c r="O22" s="314"/>
      <c r="P22" s="37"/>
      <c r="Q22" s="11"/>
      <c r="R22" s="17"/>
      <c r="S22" s="12"/>
      <c r="T22" s="107"/>
      <c r="U22" s="37"/>
      <c r="V22" s="38"/>
      <c r="W22" s="41"/>
      <c r="X22" s="278"/>
    </row>
    <row r="23" spans="2:25" ht="12" customHeight="1" thickTop="1">
      <c r="B23" s="11" t="s">
        <v>283</v>
      </c>
      <c r="C23" s="12"/>
      <c r="D23" s="13"/>
      <c r="E23" s="36" t="s">
        <v>284</v>
      </c>
      <c r="F23" s="12"/>
      <c r="G23" s="12"/>
      <c r="H23" s="111"/>
      <c r="I23" s="11"/>
      <c r="K23" s="11"/>
      <c r="L23" s="13"/>
      <c r="M23" s="349" t="s">
        <v>657</v>
      </c>
      <c r="N23" s="350"/>
      <c r="O23" s="111"/>
      <c r="P23" s="37"/>
      <c r="Q23" s="11"/>
      <c r="R23" s="322" t="s">
        <v>685</v>
      </c>
      <c r="S23" s="323"/>
      <c r="T23" s="111"/>
      <c r="V23" s="38"/>
      <c r="W23" s="36"/>
      <c r="X23" s="296"/>
    </row>
    <row r="24" spans="2:25" ht="12" customHeight="1" thickBot="1">
      <c r="B24" s="11"/>
      <c r="C24" s="12"/>
      <c r="D24" s="13"/>
      <c r="E24" s="41"/>
      <c r="F24" s="12"/>
      <c r="G24" s="12"/>
      <c r="H24" s="107"/>
      <c r="I24" s="11"/>
      <c r="K24" s="11"/>
      <c r="L24" s="13"/>
      <c r="M24" s="311" t="s">
        <v>658</v>
      </c>
      <c r="N24" s="287"/>
      <c r="O24" s="107"/>
      <c r="P24" s="37"/>
      <c r="Q24" s="46"/>
      <c r="R24" s="315" t="s">
        <v>686</v>
      </c>
      <c r="S24" s="317"/>
      <c r="T24" s="107"/>
      <c r="V24" s="38"/>
      <c r="W24" s="41"/>
      <c r="X24" s="278"/>
    </row>
    <row r="25" spans="2:25" ht="12" customHeight="1" thickTop="1">
      <c r="B25" s="11"/>
      <c r="C25" s="12"/>
      <c r="D25" s="12"/>
      <c r="E25" s="36" t="s">
        <v>118</v>
      </c>
      <c r="F25" s="35"/>
      <c r="G25" s="54"/>
      <c r="H25" s="277"/>
      <c r="I25" s="11"/>
      <c r="K25" s="11"/>
      <c r="L25" s="13"/>
      <c r="M25" s="355" t="s">
        <v>659</v>
      </c>
      <c r="N25" s="356"/>
      <c r="O25" s="313"/>
      <c r="Q25" s="62" t="s">
        <v>687</v>
      </c>
      <c r="R25" s="188"/>
      <c r="S25" s="12"/>
      <c r="T25" s="318"/>
      <c r="V25" s="38"/>
      <c r="W25" s="17"/>
      <c r="X25" s="296"/>
    </row>
    <row r="26" spans="2:25" ht="12" customHeight="1" thickBot="1">
      <c r="B26" s="46"/>
      <c r="C26" s="40"/>
      <c r="D26" s="40"/>
      <c r="E26" s="41"/>
      <c r="F26" s="40"/>
      <c r="G26" s="55"/>
      <c r="H26" s="278"/>
      <c r="I26" s="11"/>
      <c r="K26" s="11"/>
      <c r="L26" s="13"/>
      <c r="M26" s="315" t="s">
        <v>660</v>
      </c>
      <c r="N26" s="316"/>
      <c r="O26" s="278"/>
      <c r="Q26" s="46"/>
      <c r="R26" s="17"/>
      <c r="S26" s="12"/>
      <c r="T26" s="319"/>
      <c r="V26" s="38"/>
      <c r="W26" s="41"/>
      <c r="X26" s="278"/>
    </row>
    <row r="27" spans="2:25" ht="12" customHeight="1" thickTop="1">
      <c r="B27" s="329" t="s">
        <v>627</v>
      </c>
      <c r="C27" s="330"/>
      <c r="D27" s="331"/>
      <c r="E27" s="36" t="s">
        <v>66</v>
      </c>
      <c r="F27" s="35"/>
      <c r="G27" s="35"/>
      <c r="H27" s="277"/>
      <c r="K27" s="11"/>
      <c r="L27" s="13"/>
      <c r="M27" s="357" t="s">
        <v>661</v>
      </c>
      <c r="N27" s="358"/>
      <c r="O27" s="296"/>
      <c r="Q27" s="11" t="s">
        <v>277</v>
      </c>
      <c r="R27" s="36"/>
      <c r="S27" s="35" t="s">
        <v>688</v>
      </c>
      <c r="T27" s="296"/>
      <c r="V27" s="38"/>
      <c r="W27" s="17"/>
      <c r="X27" s="296"/>
    </row>
    <row r="28" spans="2:25" ht="12" customHeight="1" thickBot="1">
      <c r="B28" s="11"/>
      <c r="C28" s="12"/>
      <c r="D28" s="12"/>
      <c r="E28" s="41"/>
      <c r="F28" s="12"/>
      <c r="G28" s="12"/>
      <c r="H28" s="278"/>
      <c r="K28" s="11"/>
      <c r="L28" s="13"/>
      <c r="M28" s="347"/>
      <c r="N28" s="348"/>
      <c r="O28" s="278"/>
      <c r="Q28" s="46"/>
      <c r="R28" s="41"/>
      <c r="S28" s="40"/>
      <c r="T28" s="278"/>
      <c r="V28" s="56"/>
      <c r="W28" s="57"/>
      <c r="X28" s="278"/>
    </row>
    <row r="29" spans="2:25" ht="12" customHeight="1" thickTop="1">
      <c r="B29" s="45" t="s">
        <v>288</v>
      </c>
      <c r="C29" s="35"/>
      <c r="D29" s="35"/>
      <c r="E29" s="36" t="s">
        <v>138</v>
      </c>
      <c r="F29" s="35"/>
      <c r="G29" s="54"/>
      <c r="H29" s="296"/>
      <c r="I29" s="11"/>
      <c r="K29" s="285"/>
      <c r="L29" s="301"/>
      <c r="M29" s="160" t="s">
        <v>282</v>
      </c>
      <c r="N29" s="12"/>
      <c r="O29" s="296"/>
      <c r="Q29" s="11" t="s">
        <v>98</v>
      </c>
      <c r="R29" s="17"/>
      <c r="S29" s="35" t="s">
        <v>689</v>
      </c>
      <c r="T29" s="111"/>
      <c r="U29" s="37"/>
      <c r="V29" s="38"/>
      <c r="W29" s="17"/>
      <c r="X29" s="58"/>
    </row>
    <row r="30" spans="2:25" ht="12" customHeight="1" thickBot="1">
      <c r="B30" s="11"/>
      <c r="C30" s="12"/>
      <c r="D30" s="12"/>
      <c r="E30" s="17"/>
      <c r="F30" s="12"/>
      <c r="G30" s="55"/>
      <c r="H30" s="277"/>
      <c r="I30" s="11"/>
      <c r="K30" s="285"/>
      <c r="L30" s="301"/>
      <c r="M30" s="347"/>
      <c r="N30" s="348"/>
      <c r="O30" s="278"/>
      <c r="Q30" s="46"/>
      <c r="R30" s="41"/>
      <c r="S30" s="40"/>
      <c r="T30" s="107"/>
      <c r="U30" s="37"/>
      <c r="V30" s="38"/>
      <c r="W30" s="17"/>
      <c r="X30" s="59"/>
    </row>
    <row r="31" spans="2:25" ht="12" customHeight="1" thickTop="1" thickBot="1">
      <c r="B31" s="45" t="s">
        <v>630</v>
      </c>
      <c r="C31" s="168"/>
      <c r="D31" s="168"/>
      <c r="E31" s="36" t="s">
        <v>629</v>
      </c>
      <c r="F31" s="35"/>
      <c r="G31" s="12"/>
      <c r="H31" s="327"/>
      <c r="I31" s="11"/>
      <c r="K31" s="320"/>
      <c r="L31" s="321"/>
      <c r="M31" s="160" t="s">
        <v>662</v>
      </c>
      <c r="N31" s="12"/>
      <c r="O31" s="296"/>
      <c r="Q31" s="62" t="s">
        <v>690</v>
      </c>
      <c r="R31" s="187"/>
      <c r="S31" s="35"/>
      <c r="T31" s="184"/>
      <c r="U31" s="37"/>
      <c r="V31" s="42"/>
      <c r="W31" s="41"/>
      <c r="X31" s="59"/>
    </row>
    <row r="32" spans="2:25" ht="12" customHeight="1" thickBot="1">
      <c r="B32" s="46"/>
      <c r="C32" s="40"/>
      <c r="D32" s="40"/>
      <c r="E32" s="41"/>
      <c r="F32" s="40"/>
      <c r="G32" s="40"/>
      <c r="H32" s="328"/>
      <c r="I32" s="11"/>
      <c r="K32" s="46"/>
      <c r="L32" s="40"/>
      <c r="M32" s="40"/>
      <c r="N32" s="40"/>
      <c r="O32" s="278"/>
      <c r="Q32" s="46"/>
      <c r="R32" s="41"/>
      <c r="S32" s="40"/>
      <c r="T32" s="185"/>
      <c r="U32" s="37"/>
      <c r="V32" s="38"/>
      <c r="W32" s="36"/>
      <c r="X32" s="111"/>
      <c r="Y32" s="12"/>
    </row>
    <row r="33" spans="2:30" ht="12" customHeight="1" thickBot="1">
      <c r="B33" s="285" t="s">
        <v>11</v>
      </c>
      <c r="C33" s="286"/>
      <c r="D33" s="53"/>
      <c r="E33" s="35" t="s">
        <v>12</v>
      </c>
      <c r="F33" s="12"/>
      <c r="G33" s="12"/>
      <c r="H33" s="111"/>
      <c r="I33" s="11"/>
      <c r="K33" s="60" t="s">
        <v>109</v>
      </c>
      <c r="L33" s="61"/>
      <c r="M33" s="172"/>
      <c r="N33" s="12"/>
      <c r="O33" s="18"/>
      <c r="P33" s="37"/>
      <c r="R33" s="17"/>
      <c r="S33" s="35" t="s">
        <v>691</v>
      </c>
      <c r="T33" s="111"/>
      <c r="U33" s="37"/>
      <c r="V33" s="38"/>
      <c r="W33" s="41"/>
      <c r="X33" s="107"/>
      <c r="Y33" s="12"/>
      <c r="AD33" s="126"/>
    </row>
    <row r="34" spans="2:30" ht="12" customHeight="1" thickBot="1">
      <c r="B34" s="285" t="s">
        <v>255</v>
      </c>
      <c r="C34" s="286"/>
      <c r="D34" s="13"/>
      <c r="E34" s="40"/>
      <c r="F34" s="12"/>
      <c r="G34" s="12"/>
      <c r="H34" s="107"/>
      <c r="I34" s="11"/>
      <c r="K34" s="46"/>
      <c r="L34" s="40"/>
      <c r="M34" s="40"/>
      <c r="N34" s="40"/>
      <c r="O34" s="26"/>
      <c r="P34" s="37"/>
      <c r="Q34" s="11"/>
      <c r="R34" s="17"/>
      <c r="S34" s="40"/>
      <c r="T34" s="107"/>
      <c r="U34" s="37"/>
      <c r="V34" s="38"/>
      <c r="W34" s="36"/>
      <c r="X34" s="277"/>
    </row>
    <row r="35" spans="2:30" ht="12" customHeight="1" thickBot="1">
      <c r="B35" s="11"/>
      <c r="C35" s="12"/>
      <c r="D35" s="13"/>
      <c r="E35" s="35" t="s">
        <v>16</v>
      </c>
      <c r="F35" s="35"/>
      <c r="G35" s="35"/>
      <c r="H35" s="111"/>
      <c r="I35" s="11"/>
      <c r="K35" s="49" t="s">
        <v>114</v>
      </c>
      <c r="L35" s="13"/>
      <c r="M35" s="35" t="s">
        <v>115</v>
      </c>
      <c r="N35" s="35"/>
      <c r="O35" s="111"/>
      <c r="P35" s="37"/>
      <c r="Q35" s="62" t="s">
        <v>692</v>
      </c>
      <c r="R35" s="187"/>
      <c r="S35" s="35"/>
      <c r="T35" s="111"/>
      <c r="U35" s="37"/>
      <c r="V35" s="42"/>
      <c r="W35" s="17"/>
      <c r="X35" s="277"/>
    </row>
    <row r="36" spans="2:30" ht="12" customHeight="1" thickBot="1">
      <c r="B36" s="11"/>
      <c r="C36" s="12"/>
      <c r="D36" s="13"/>
      <c r="E36" s="40" t="s">
        <v>20</v>
      </c>
      <c r="F36" s="40"/>
      <c r="G36" s="40"/>
      <c r="H36" s="107"/>
      <c r="I36" s="11"/>
      <c r="K36" s="11"/>
      <c r="L36" s="13"/>
      <c r="M36" s="12"/>
      <c r="N36" s="40"/>
      <c r="O36" s="107"/>
      <c r="P36" s="37"/>
      <c r="Q36" s="11"/>
      <c r="R36" s="17"/>
      <c r="S36" s="40"/>
      <c r="T36" s="107"/>
      <c r="U36" s="37"/>
      <c r="V36" s="38"/>
      <c r="W36" s="36"/>
      <c r="X36" s="111"/>
      <c r="Y36" s="12"/>
    </row>
    <row r="37" spans="2:30" ht="12" customHeight="1" thickTop="1" thickBot="1">
      <c r="B37" s="11"/>
      <c r="C37" s="12"/>
      <c r="D37" s="13"/>
      <c r="E37" s="35" t="s">
        <v>23</v>
      </c>
      <c r="F37" s="35"/>
      <c r="G37" s="35"/>
      <c r="H37" s="296"/>
      <c r="I37" s="11"/>
      <c r="K37" s="11"/>
      <c r="L37" s="13"/>
      <c r="M37" s="180" t="s">
        <v>663</v>
      </c>
      <c r="N37" s="53"/>
      <c r="O37" s="313"/>
      <c r="Q37" s="11"/>
      <c r="R37" s="17"/>
      <c r="S37" s="36"/>
      <c r="T37" s="277"/>
      <c r="V37" s="38"/>
      <c r="W37" s="41"/>
      <c r="X37" s="107"/>
      <c r="Y37" s="12"/>
    </row>
    <row r="38" spans="2:30" ht="12" customHeight="1" thickBot="1">
      <c r="B38" s="46"/>
      <c r="C38" s="40"/>
      <c r="D38" s="48"/>
      <c r="E38" s="12"/>
      <c r="F38" s="40"/>
      <c r="G38" s="40"/>
      <c r="H38" s="277"/>
      <c r="I38" s="11"/>
      <c r="K38" s="11"/>
      <c r="L38" s="13"/>
      <c r="M38" s="12" t="s">
        <v>104</v>
      </c>
      <c r="N38" s="48"/>
      <c r="O38" s="314"/>
      <c r="Q38" s="11"/>
      <c r="R38" s="17"/>
      <c r="S38" s="41"/>
      <c r="T38" s="277"/>
      <c r="V38" s="38"/>
      <c r="W38" s="17"/>
      <c r="X38" s="59"/>
    </row>
    <row r="39" spans="2:30" ht="12" customHeight="1" thickTop="1">
      <c r="B39" s="299" t="s">
        <v>259</v>
      </c>
      <c r="C39" s="332"/>
      <c r="D39" s="35"/>
      <c r="E39" s="333"/>
      <c r="F39" s="35"/>
      <c r="G39" s="35"/>
      <c r="H39" s="296"/>
      <c r="I39" s="11"/>
      <c r="K39" s="11"/>
      <c r="L39" s="13"/>
      <c r="M39" s="12"/>
      <c r="N39" s="36" t="s">
        <v>665</v>
      </c>
      <c r="O39" s="111"/>
      <c r="P39" s="37"/>
      <c r="Q39" s="11"/>
      <c r="R39" s="17"/>
      <c r="S39" s="17"/>
      <c r="T39" s="111"/>
      <c r="U39" s="37"/>
      <c r="V39" s="38"/>
      <c r="W39" s="17"/>
      <c r="X39" s="59"/>
    </row>
    <row r="40" spans="2:30" ht="12" customHeight="1" thickBot="1">
      <c r="B40" s="46"/>
      <c r="C40" s="40"/>
      <c r="D40" s="40"/>
      <c r="E40" s="334"/>
      <c r="F40" s="40"/>
      <c r="G40" s="40"/>
      <c r="H40" s="277"/>
      <c r="I40" s="11"/>
      <c r="K40" s="11"/>
      <c r="L40" s="13"/>
      <c r="M40" s="12"/>
      <c r="N40" s="17"/>
      <c r="O40" s="107"/>
      <c r="P40" s="37"/>
      <c r="Q40" s="46"/>
      <c r="R40" s="41"/>
      <c r="S40" s="41"/>
      <c r="T40" s="107"/>
      <c r="U40" s="37"/>
      <c r="V40" s="38"/>
      <c r="W40" s="41"/>
      <c r="X40" s="59"/>
      <c r="Y40" s="12"/>
    </row>
    <row r="41" spans="2:30" ht="12" customHeight="1" thickTop="1">
      <c r="B41" s="299" t="s">
        <v>261</v>
      </c>
      <c r="C41" s="332"/>
      <c r="D41" s="53"/>
      <c r="E41" s="36" t="s">
        <v>35</v>
      </c>
      <c r="F41" s="35"/>
      <c r="G41" s="35"/>
      <c r="H41" s="296"/>
      <c r="I41" s="11"/>
      <c r="K41" s="11"/>
      <c r="L41" s="13"/>
      <c r="M41" s="12"/>
      <c r="N41" s="36" t="s">
        <v>666</v>
      </c>
      <c r="O41" s="313"/>
      <c r="Q41" s="44"/>
      <c r="R41" s="36"/>
      <c r="S41" s="35"/>
      <c r="T41" s="37"/>
      <c r="U41" s="37"/>
      <c r="V41" s="45"/>
      <c r="W41" s="17"/>
      <c r="X41" s="297"/>
      <c r="Y41" s="12"/>
    </row>
    <row r="42" spans="2:30" ht="12" customHeight="1" thickBot="1">
      <c r="B42" s="285" t="s">
        <v>38</v>
      </c>
      <c r="C42" s="286"/>
      <c r="D42" s="13"/>
      <c r="E42" s="41"/>
      <c r="F42" s="40"/>
      <c r="G42" s="40"/>
      <c r="H42" s="277"/>
      <c r="I42" s="11"/>
      <c r="K42" s="11"/>
      <c r="L42" s="13"/>
      <c r="M42" s="52"/>
      <c r="N42" s="41" t="s">
        <v>667</v>
      </c>
      <c r="O42" s="278"/>
      <c r="Q42" s="46"/>
      <c r="R42" s="41"/>
      <c r="S42" s="40"/>
      <c r="T42" s="107"/>
      <c r="U42" s="37"/>
      <c r="V42" s="38"/>
      <c r="W42" s="17"/>
      <c r="X42" s="298"/>
      <c r="Y42" s="12"/>
    </row>
    <row r="43" spans="2:30" ht="12" customHeight="1" thickTop="1">
      <c r="B43" s="11"/>
      <c r="C43" s="12"/>
      <c r="D43" s="13"/>
      <c r="E43" s="36" t="s">
        <v>631</v>
      </c>
      <c r="F43" s="35"/>
      <c r="G43" s="35"/>
      <c r="H43" s="296"/>
      <c r="K43" s="11"/>
      <c r="L43" s="13"/>
      <c r="M43" s="12" t="s">
        <v>668</v>
      </c>
      <c r="N43" s="12"/>
      <c r="O43" s="296"/>
      <c r="Q43" s="62"/>
      <c r="R43" s="187"/>
      <c r="S43" s="35"/>
      <c r="T43" s="12"/>
      <c r="U43" s="63"/>
      <c r="V43" s="38"/>
      <c r="W43" s="36"/>
      <c r="X43" s="277"/>
    </row>
    <row r="44" spans="2:30" ht="12" customHeight="1" thickBot="1">
      <c r="B44" s="11"/>
      <c r="C44" s="12"/>
      <c r="D44" s="13"/>
      <c r="E44" s="41"/>
      <c r="F44" s="12"/>
      <c r="G44" s="12"/>
      <c r="H44" s="277"/>
      <c r="K44" s="11"/>
      <c r="L44" s="13"/>
      <c r="M44" s="41"/>
      <c r="N44" s="40"/>
      <c r="O44" s="278"/>
      <c r="Q44" s="46"/>
      <c r="R44" s="41"/>
      <c r="S44" s="40"/>
      <c r="T44" s="26"/>
      <c r="U44" s="37"/>
      <c r="V44" s="42"/>
      <c r="W44" s="41"/>
      <c r="X44" s="277"/>
    </row>
    <row r="45" spans="2:30" ht="12" customHeight="1" thickTop="1">
      <c r="B45" s="11"/>
      <c r="C45" s="12"/>
      <c r="D45" s="13"/>
      <c r="E45" s="36" t="s">
        <v>632</v>
      </c>
      <c r="F45" s="35"/>
      <c r="G45" s="54"/>
      <c r="H45" s="170"/>
      <c r="K45" s="49" t="s">
        <v>669</v>
      </c>
      <c r="L45" s="61"/>
      <c r="M45" s="36" t="s">
        <v>671</v>
      </c>
      <c r="N45" s="12"/>
      <c r="O45" s="296"/>
      <c r="Q45" s="11"/>
      <c r="R45" s="17"/>
      <c r="S45" s="12"/>
      <c r="T45" s="37"/>
      <c r="U45" s="37"/>
      <c r="V45" s="38"/>
      <c r="W45" s="17"/>
      <c r="X45" s="297"/>
      <c r="Y45" s="12"/>
    </row>
    <row r="46" spans="2:30" ht="12" customHeight="1" thickBot="1">
      <c r="B46" s="11"/>
      <c r="C46" s="12"/>
      <c r="D46" s="13"/>
      <c r="E46" s="17"/>
      <c r="F46" s="12"/>
      <c r="G46" s="64"/>
      <c r="H46" s="59"/>
      <c r="I46" s="11"/>
      <c r="K46" s="11" t="s">
        <v>670</v>
      </c>
      <c r="L46" s="12"/>
      <c r="M46" s="41"/>
      <c r="N46" s="40"/>
      <c r="O46" s="278"/>
      <c r="P46" s="37"/>
      <c r="Q46" s="11"/>
      <c r="R46" s="17"/>
      <c r="S46" s="40"/>
      <c r="T46" s="107"/>
      <c r="U46" s="37"/>
      <c r="V46" s="38"/>
      <c r="W46" s="41"/>
      <c r="X46" s="298"/>
      <c r="Y46" s="12"/>
    </row>
    <row r="47" spans="2:30" ht="12" customHeight="1" thickTop="1">
      <c r="B47" s="44" t="s">
        <v>633</v>
      </c>
      <c r="C47" s="35"/>
      <c r="D47" s="35"/>
      <c r="E47" s="36" t="s">
        <v>634</v>
      </c>
      <c r="F47" s="35"/>
      <c r="G47" s="54"/>
      <c r="H47" s="296"/>
      <c r="I47" s="11"/>
      <c r="K47" s="33"/>
      <c r="L47" s="34"/>
      <c r="M47" s="169" t="s">
        <v>672</v>
      </c>
      <c r="N47" s="35"/>
      <c r="O47" s="296"/>
      <c r="P47" s="37"/>
      <c r="Q47" s="11"/>
      <c r="R47" s="36"/>
      <c r="S47" s="35"/>
      <c r="T47" s="37"/>
      <c r="U47" s="37"/>
      <c r="V47" s="38"/>
      <c r="W47" s="36"/>
      <c r="X47" s="111"/>
      <c r="Y47" s="12"/>
    </row>
    <row r="48" spans="2:30" ht="12" customHeight="1" thickBot="1">
      <c r="B48" s="11"/>
      <c r="C48" s="12"/>
      <c r="D48" s="13"/>
      <c r="E48" s="17" t="s">
        <v>635</v>
      </c>
      <c r="F48" s="12"/>
      <c r="G48" s="12"/>
      <c r="H48" s="277"/>
      <c r="K48" s="46"/>
      <c r="L48" s="48"/>
      <c r="M48" s="41" t="s">
        <v>104</v>
      </c>
      <c r="N48" s="40"/>
      <c r="O48" s="277"/>
      <c r="P48" s="37"/>
      <c r="Q48" s="11"/>
      <c r="R48" s="17"/>
      <c r="S48" s="40"/>
      <c r="T48" s="107"/>
      <c r="U48" s="37"/>
      <c r="V48" s="42"/>
      <c r="W48" s="41"/>
      <c r="X48" s="107"/>
      <c r="Y48" s="12"/>
    </row>
    <row r="49" spans="2:25" ht="12" customHeight="1" thickTop="1">
      <c r="B49" s="329" t="s">
        <v>636</v>
      </c>
      <c r="C49" s="330"/>
      <c r="D49" s="331"/>
      <c r="E49" s="36" t="s">
        <v>637</v>
      </c>
      <c r="F49" s="35"/>
      <c r="G49" s="35"/>
      <c r="H49" s="296"/>
      <c r="K49" s="49" t="s">
        <v>287</v>
      </c>
      <c r="L49" s="13"/>
      <c r="M49" s="12" t="s">
        <v>134</v>
      </c>
      <c r="N49" s="169"/>
      <c r="O49" s="111"/>
      <c r="Q49" s="11"/>
      <c r="R49" s="36"/>
      <c r="S49" s="35"/>
      <c r="T49" s="111"/>
      <c r="U49" s="37"/>
      <c r="V49" s="38"/>
      <c r="W49" s="36"/>
      <c r="X49" s="277"/>
    </row>
    <row r="50" spans="2:25" ht="12" customHeight="1" thickBot="1">
      <c r="B50" s="11"/>
      <c r="C50" s="12"/>
      <c r="D50" s="12"/>
      <c r="E50" s="17"/>
      <c r="F50" s="12"/>
      <c r="G50" s="12"/>
      <c r="H50" s="277"/>
      <c r="K50" s="11"/>
      <c r="L50" s="13"/>
      <c r="M50" s="12"/>
      <c r="N50" s="183"/>
      <c r="O50" s="107"/>
      <c r="Q50" s="11"/>
      <c r="R50" s="17"/>
      <c r="S50" s="40"/>
      <c r="T50" s="107"/>
      <c r="U50" s="37"/>
      <c r="V50" s="38"/>
      <c r="W50" s="41"/>
      <c r="X50" s="278"/>
    </row>
    <row r="51" spans="2:25" ht="12" customHeight="1" thickTop="1">
      <c r="B51" s="44" t="s">
        <v>638</v>
      </c>
      <c r="C51" s="35"/>
      <c r="D51" s="35"/>
      <c r="E51" s="36" t="s">
        <v>66</v>
      </c>
      <c r="F51" s="35"/>
      <c r="G51" s="54"/>
      <c r="H51" s="296"/>
      <c r="K51" s="33"/>
      <c r="L51" s="34"/>
      <c r="M51" s="169" t="s">
        <v>673</v>
      </c>
      <c r="N51" s="35"/>
      <c r="O51" s="277"/>
      <c r="Q51" s="11"/>
      <c r="R51" s="36"/>
      <c r="S51" s="12"/>
      <c r="T51" s="277"/>
      <c r="V51" s="38"/>
      <c r="W51" s="17"/>
      <c r="X51" s="296"/>
    </row>
    <row r="52" spans="2:25" ht="12" customHeight="1" thickBot="1">
      <c r="B52" s="46" t="s">
        <v>639</v>
      </c>
      <c r="C52" s="40"/>
      <c r="D52" s="48"/>
      <c r="E52" s="41"/>
      <c r="F52" s="40"/>
      <c r="G52" s="40"/>
      <c r="H52" s="277"/>
      <c r="K52" s="11"/>
      <c r="L52" s="13"/>
      <c r="M52" s="12"/>
      <c r="N52" s="40"/>
      <c r="O52" s="278"/>
      <c r="Q52" s="46"/>
      <c r="R52" s="41"/>
      <c r="S52" s="40"/>
      <c r="T52" s="277"/>
      <c r="V52" s="42"/>
      <c r="W52" s="41"/>
      <c r="X52" s="278"/>
    </row>
    <row r="53" spans="2:25" ht="12" customHeight="1" thickTop="1">
      <c r="B53" s="49" t="s">
        <v>640</v>
      </c>
      <c r="C53" s="12"/>
      <c r="D53" s="12"/>
      <c r="E53" s="17" t="s">
        <v>641</v>
      </c>
      <c r="F53" s="12"/>
      <c r="G53" s="12"/>
      <c r="H53" s="296"/>
      <c r="K53" s="11"/>
      <c r="L53" s="13"/>
      <c r="M53" s="36" t="s">
        <v>674</v>
      </c>
      <c r="N53" s="35"/>
      <c r="O53" s="296"/>
      <c r="Q53" s="11"/>
      <c r="R53" s="17"/>
      <c r="S53" s="12"/>
      <c r="T53" s="111"/>
      <c r="U53" s="37"/>
      <c r="V53" s="38"/>
      <c r="W53" s="17"/>
      <c r="X53" s="296"/>
    </row>
    <row r="54" spans="2:25" ht="12" customHeight="1" thickBot="1">
      <c r="B54" s="11"/>
      <c r="C54" s="12"/>
      <c r="D54" s="12"/>
      <c r="E54" s="17"/>
      <c r="F54" s="12"/>
      <c r="G54" s="12"/>
      <c r="H54" s="277"/>
      <c r="K54" s="11"/>
      <c r="L54" s="13"/>
      <c r="M54" s="12" t="s">
        <v>664</v>
      </c>
      <c r="N54" s="40"/>
      <c r="O54" s="314"/>
      <c r="Q54" s="42"/>
      <c r="R54" s="40"/>
      <c r="S54" s="41"/>
      <c r="T54" s="107"/>
      <c r="U54" s="37"/>
      <c r="V54" s="38"/>
      <c r="W54" s="17"/>
      <c r="X54" s="278"/>
    </row>
    <row r="55" spans="2:25" ht="12" customHeight="1" thickTop="1">
      <c r="B55" s="11"/>
      <c r="C55" s="12"/>
      <c r="D55" s="12"/>
      <c r="E55" s="17" t="s">
        <v>642</v>
      </c>
      <c r="F55" s="12"/>
      <c r="G55" s="64"/>
      <c r="H55" s="296"/>
      <c r="K55" s="33"/>
      <c r="L55" s="34"/>
      <c r="M55" s="182"/>
      <c r="N55" s="53" t="s">
        <v>675</v>
      </c>
      <c r="O55" s="296"/>
      <c r="P55" s="37"/>
      <c r="Q55" s="45"/>
      <c r="R55" s="35"/>
      <c r="S55" s="36"/>
      <c r="T55" s="37"/>
      <c r="U55" s="37"/>
      <c r="V55" s="45"/>
      <c r="W55" s="36"/>
      <c r="X55" s="296"/>
    </row>
    <row r="56" spans="2:25" ht="12" customHeight="1" thickBot="1">
      <c r="B56" s="11"/>
      <c r="C56" s="12"/>
      <c r="D56" s="12"/>
      <c r="E56" s="17"/>
      <c r="F56" s="12"/>
      <c r="G56" s="64"/>
      <c r="H56" s="277"/>
      <c r="K56" s="11"/>
      <c r="L56" s="12"/>
      <c r="M56" s="181"/>
      <c r="N56" s="40" t="s">
        <v>676</v>
      </c>
      <c r="O56" s="314"/>
      <c r="P56" s="37"/>
      <c r="Q56" s="42"/>
      <c r="R56" s="40"/>
      <c r="S56" s="41"/>
      <c r="T56" s="107"/>
      <c r="U56" s="37"/>
      <c r="V56" s="42"/>
      <c r="W56" s="41"/>
      <c r="X56" s="277"/>
    </row>
    <row r="57" spans="2:25" ht="12" customHeight="1" thickTop="1">
      <c r="B57" s="11"/>
      <c r="C57" s="12"/>
      <c r="D57" s="12"/>
      <c r="E57" s="17" t="s">
        <v>643</v>
      </c>
      <c r="F57" s="12"/>
      <c r="G57" s="12"/>
      <c r="H57" s="296"/>
      <c r="K57" s="11"/>
      <c r="L57" s="12"/>
      <c r="M57" s="181"/>
      <c r="N57" s="35" t="s">
        <v>677</v>
      </c>
      <c r="O57" s="296"/>
      <c r="P57" s="37"/>
      <c r="Q57" s="45"/>
      <c r="R57" s="35"/>
      <c r="S57" s="36"/>
      <c r="T57" s="111"/>
      <c r="U57" s="37"/>
      <c r="V57" s="38"/>
      <c r="W57" s="17"/>
      <c r="X57" s="111"/>
      <c r="Y57" s="12"/>
    </row>
    <row r="58" spans="2:25" ht="12" customHeight="1" thickBot="1">
      <c r="B58" s="11"/>
      <c r="C58" s="12"/>
      <c r="D58" s="12"/>
      <c r="E58" s="17"/>
      <c r="F58" s="12"/>
      <c r="G58" s="12"/>
      <c r="H58" s="277"/>
      <c r="K58" s="11"/>
      <c r="L58" s="12"/>
      <c r="M58" s="52"/>
      <c r="N58" s="40" t="s">
        <v>664</v>
      </c>
      <c r="O58" s="314"/>
      <c r="P58" s="37"/>
      <c r="Q58" s="42"/>
      <c r="R58" s="40"/>
      <c r="S58" s="41"/>
      <c r="T58" s="107"/>
      <c r="U58" s="37"/>
      <c r="V58" s="38"/>
      <c r="W58" s="17"/>
      <c r="X58" s="107"/>
      <c r="Y58" s="12"/>
    </row>
    <row r="59" spans="2:25" ht="12" customHeight="1" thickTop="1">
      <c r="B59" s="11"/>
      <c r="C59" s="12"/>
      <c r="D59" s="13"/>
      <c r="E59" s="324" t="s">
        <v>644</v>
      </c>
      <c r="F59" s="325"/>
      <c r="G59" s="326"/>
      <c r="H59" s="296"/>
      <c r="K59" s="11"/>
      <c r="L59" s="13"/>
      <c r="M59" s="36" t="s">
        <v>678</v>
      </c>
      <c r="N59" s="35"/>
      <c r="O59" s="296"/>
      <c r="P59" s="37"/>
      <c r="Q59" s="45"/>
      <c r="R59" s="35"/>
      <c r="S59" s="36"/>
      <c r="T59" s="277"/>
      <c r="V59" s="45"/>
      <c r="W59" s="51"/>
      <c r="X59" s="68"/>
    </row>
    <row r="60" spans="2:25" ht="12" customHeight="1" thickBot="1">
      <c r="B60" s="21"/>
      <c r="C60" s="22"/>
      <c r="D60" s="22"/>
      <c r="E60" s="25" t="s">
        <v>645</v>
      </c>
      <c r="F60" s="22"/>
      <c r="G60" s="171"/>
      <c r="H60" s="314"/>
      <c r="K60" s="21"/>
      <c r="L60" s="22"/>
      <c r="M60" s="25"/>
      <c r="N60" s="22"/>
      <c r="O60" s="314"/>
      <c r="P60" s="37"/>
      <c r="Q60" s="56"/>
      <c r="R60" s="22"/>
      <c r="S60" s="57"/>
      <c r="T60" s="278"/>
      <c r="V60" s="56"/>
      <c r="W60" s="69"/>
      <c r="X60" s="70"/>
    </row>
    <row r="61" spans="2:25" ht="6.95" customHeight="1">
      <c r="B61" s="12"/>
      <c r="C61" s="12"/>
      <c r="D61" s="12"/>
      <c r="E61" s="12"/>
      <c r="F61" s="12"/>
      <c r="G61" s="12"/>
      <c r="H61" s="12"/>
      <c r="L61" s="12"/>
      <c r="M61" s="12"/>
      <c r="N61" s="12"/>
      <c r="O61" s="12"/>
      <c r="Q61" s="12"/>
      <c r="R61" s="12"/>
      <c r="S61" s="12"/>
      <c r="T61" s="12"/>
      <c r="V61" s="12"/>
      <c r="W61" s="12"/>
      <c r="X61" s="71"/>
    </row>
    <row r="62" spans="2:25" ht="12" customHeight="1">
      <c r="B62" s="1" t="s">
        <v>252</v>
      </c>
    </row>
    <row r="63" spans="2:25" ht="6.95" customHeight="1" thickBot="1"/>
    <row r="64" spans="2:25" ht="14.1" customHeight="1">
      <c r="C64" s="279" t="s">
        <v>146</v>
      </c>
      <c r="D64" s="280"/>
      <c r="E64" s="280"/>
      <c r="F64" s="281"/>
      <c r="I64" s="282" t="s">
        <v>147</v>
      </c>
      <c r="J64" s="283"/>
      <c r="K64" s="283"/>
      <c r="L64" s="284"/>
      <c r="M64" s="3" t="s">
        <v>164</v>
      </c>
      <c r="N64" s="3"/>
      <c r="O64" s="3"/>
      <c r="P64" s="3"/>
      <c r="Q64" s="3"/>
      <c r="R64" s="3"/>
      <c r="S64" s="3"/>
      <c r="T64" s="3"/>
      <c r="U64" s="3"/>
      <c r="V64" s="288" t="s">
        <v>148</v>
      </c>
      <c r="W64" s="289" t="s">
        <v>165</v>
      </c>
    </row>
    <row r="65" spans="3:23" ht="6.95" customHeight="1">
      <c r="C65" s="255" t="s">
        <v>149</v>
      </c>
      <c r="D65" s="255" t="s">
        <v>300</v>
      </c>
      <c r="E65" s="255" t="s">
        <v>150</v>
      </c>
      <c r="F65" s="255" t="s">
        <v>301</v>
      </c>
      <c r="I65" s="285"/>
      <c r="J65" s="286"/>
      <c r="K65" s="286"/>
      <c r="L65" s="287"/>
      <c r="M65" s="33"/>
      <c r="N65" s="12"/>
      <c r="O65" s="12"/>
      <c r="P65" s="12"/>
      <c r="Q65" s="12"/>
      <c r="R65" s="12"/>
      <c r="S65" s="12"/>
      <c r="T65" s="12"/>
      <c r="U65" s="12"/>
      <c r="V65" s="270"/>
      <c r="W65" s="290"/>
    </row>
    <row r="66" spans="3:23" ht="6.95" customHeight="1">
      <c r="C66" s="255"/>
      <c r="D66" s="255"/>
      <c r="E66" s="255"/>
      <c r="F66" s="255"/>
      <c r="I66" s="291" t="s">
        <v>151</v>
      </c>
      <c r="J66" s="292"/>
      <c r="K66" s="292"/>
      <c r="L66" s="293"/>
      <c r="M66" s="161"/>
      <c r="N66" s="265" t="str">
        <f>VLOOKUP(Z2,車両一覧!B2:N206,12,0)</f>
        <v>愛知県西尾市吉良町吉田亥改13-3</v>
      </c>
      <c r="O66" s="265"/>
      <c r="P66" s="265"/>
      <c r="Q66" s="265"/>
      <c r="R66" s="265"/>
      <c r="S66" s="265"/>
      <c r="T66" s="12"/>
      <c r="U66" s="12"/>
      <c r="V66" s="251" t="s">
        <v>152</v>
      </c>
      <c r="W66" s="271"/>
    </row>
    <row r="67" spans="3:23" ht="14.1" customHeight="1">
      <c r="C67" s="72" t="s">
        <v>153</v>
      </c>
      <c r="D67" s="72" t="s">
        <v>302</v>
      </c>
      <c r="E67" s="72" t="s">
        <v>154</v>
      </c>
      <c r="F67" s="72" t="s">
        <v>303</v>
      </c>
      <c r="I67" s="273"/>
      <c r="J67" s="294"/>
      <c r="K67" s="294"/>
      <c r="L67" s="295"/>
      <c r="M67" s="161"/>
      <c r="N67" s="265"/>
      <c r="O67" s="265"/>
      <c r="P67" s="265"/>
      <c r="Q67" s="265"/>
      <c r="R67" s="265"/>
      <c r="S67" s="265"/>
      <c r="T67" s="12"/>
      <c r="U67" s="12"/>
      <c r="V67" s="270"/>
      <c r="W67" s="272"/>
    </row>
    <row r="68" spans="3:23" ht="14.1" customHeight="1">
      <c r="C68" s="72" t="s">
        <v>155</v>
      </c>
      <c r="D68" s="72" t="s">
        <v>304</v>
      </c>
      <c r="E68" s="72" t="s">
        <v>156</v>
      </c>
      <c r="F68" s="72" t="s">
        <v>305</v>
      </c>
      <c r="I68" s="256" t="s">
        <v>306</v>
      </c>
      <c r="J68" s="257"/>
      <c r="K68" s="260" t="s">
        <v>307</v>
      </c>
      <c r="L68" s="261"/>
      <c r="M68" s="264" t="str">
        <f>VLOOKUP(Z2,車両一覧!B2:N206,11,0)</f>
        <v>セブン通商　株式会社</v>
      </c>
      <c r="N68" s="265"/>
      <c r="O68" s="265"/>
      <c r="P68" s="265"/>
      <c r="Q68" s="265"/>
      <c r="R68" s="265"/>
      <c r="S68" s="265"/>
      <c r="T68" s="12"/>
      <c r="U68" s="12"/>
      <c r="V68" s="251" t="s">
        <v>157</v>
      </c>
      <c r="W68" s="271"/>
    </row>
    <row r="69" spans="3:23" ht="6.95" customHeight="1">
      <c r="C69" s="255" t="s">
        <v>158</v>
      </c>
      <c r="D69" s="255" t="s">
        <v>290</v>
      </c>
      <c r="E69" s="255" t="s">
        <v>159</v>
      </c>
      <c r="F69" s="255" t="s">
        <v>308</v>
      </c>
      <c r="I69" s="273"/>
      <c r="J69" s="274"/>
      <c r="K69" s="275"/>
      <c r="L69" s="276"/>
      <c r="M69" s="264"/>
      <c r="N69" s="265"/>
      <c r="O69" s="265"/>
      <c r="P69" s="265"/>
      <c r="Q69" s="265"/>
      <c r="R69" s="265"/>
      <c r="S69" s="265"/>
      <c r="T69" s="12"/>
      <c r="U69" s="12"/>
      <c r="V69" s="270"/>
      <c r="W69" s="272"/>
    </row>
    <row r="70" spans="3:23" ht="6.95" customHeight="1">
      <c r="C70" s="255"/>
      <c r="D70" s="255"/>
      <c r="E70" s="255"/>
      <c r="F70" s="255"/>
      <c r="I70" s="256" t="s">
        <v>309</v>
      </c>
      <c r="J70" s="257"/>
      <c r="K70" s="260" t="s">
        <v>310</v>
      </c>
      <c r="L70" s="261"/>
      <c r="M70" s="264"/>
      <c r="N70" s="265"/>
      <c r="O70" s="265"/>
      <c r="P70" s="265"/>
      <c r="Q70" s="265"/>
      <c r="R70" s="265"/>
      <c r="S70" s="265"/>
      <c r="T70" s="12"/>
      <c r="U70" s="12"/>
      <c r="V70" s="251" t="s">
        <v>160</v>
      </c>
      <c r="W70" s="253"/>
    </row>
    <row r="71" spans="3:23" ht="14.1" customHeight="1" thickBot="1">
      <c r="C71" s="72" t="s">
        <v>161</v>
      </c>
      <c r="D71" s="73"/>
      <c r="E71" s="72"/>
      <c r="F71" s="72"/>
      <c r="I71" s="258"/>
      <c r="J71" s="259"/>
      <c r="K71" s="262"/>
      <c r="L71" s="263"/>
      <c r="M71" s="266"/>
      <c r="N71" s="267"/>
      <c r="O71" s="267"/>
      <c r="P71" s="267"/>
      <c r="Q71" s="267"/>
      <c r="R71" s="267"/>
      <c r="S71" s="267"/>
      <c r="T71" s="22"/>
      <c r="U71" s="22"/>
      <c r="V71" s="252"/>
      <c r="W71" s="254"/>
    </row>
  </sheetData>
  <mergeCells count="142">
    <mergeCell ref="M24:N24"/>
    <mergeCell ref="M25:N25"/>
    <mergeCell ref="M26:N26"/>
    <mergeCell ref="M28:N28"/>
    <mergeCell ref="M27:N27"/>
    <mergeCell ref="M30:N30"/>
    <mergeCell ref="M23:N23"/>
    <mergeCell ref="M13:M22"/>
    <mergeCell ref="O55:O56"/>
    <mergeCell ref="O57:O58"/>
    <mergeCell ref="O59:O60"/>
    <mergeCell ref="T9:T10"/>
    <mergeCell ref="T11:T12"/>
    <mergeCell ref="R9:S9"/>
    <mergeCell ref="R10:S10"/>
    <mergeCell ref="R11:S11"/>
    <mergeCell ref="O31:O32"/>
    <mergeCell ref="O45:O46"/>
    <mergeCell ref="O47:O48"/>
    <mergeCell ref="O37:O38"/>
    <mergeCell ref="O25:O26"/>
    <mergeCell ref="M6:N6"/>
    <mergeCell ref="M9:N9"/>
    <mergeCell ref="M10:N10"/>
    <mergeCell ref="M11:N11"/>
    <mergeCell ref="M12:N12"/>
    <mergeCell ref="R1:S1"/>
    <mergeCell ref="R2:S2"/>
    <mergeCell ref="R3:S3"/>
    <mergeCell ref="R4:S4"/>
    <mergeCell ref="R6:S6"/>
    <mergeCell ref="R7:S7"/>
    <mergeCell ref="B34:C34"/>
    <mergeCell ref="H37:H38"/>
    <mergeCell ref="B39:C39"/>
    <mergeCell ref="E39:E40"/>
    <mergeCell ref="H39:H40"/>
    <mergeCell ref="B41:C41"/>
    <mergeCell ref="H41:H42"/>
    <mergeCell ref="B42:C42"/>
    <mergeCell ref="W70:W71"/>
    <mergeCell ref="H9:H10"/>
    <mergeCell ref="H17:H18"/>
    <mergeCell ref="H21:H22"/>
    <mergeCell ref="H25:H26"/>
    <mergeCell ref="B27:D27"/>
    <mergeCell ref="H27:H28"/>
    <mergeCell ref="H31:H32"/>
    <mergeCell ref="B33:C33"/>
    <mergeCell ref="B49:D49"/>
    <mergeCell ref="C69:C70"/>
    <mergeCell ref="D69:D70"/>
    <mergeCell ref="E69:E70"/>
    <mergeCell ref="F69:F70"/>
    <mergeCell ref="I70:J71"/>
    <mergeCell ref="K70:L71"/>
    <mergeCell ref="F65:F66"/>
    <mergeCell ref="V66:V67"/>
    <mergeCell ref="W66:W67"/>
    <mergeCell ref="I68:J69"/>
    <mergeCell ref="K68:L69"/>
    <mergeCell ref="V68:V69"/>
    <mergeCell ref="W68:W69"/>
    <mergeCell ref="I66:L67"/>
    <mergeCell ref="M68:S71"/>
    <mergeCell ref="N66:S67"/>
    <mergeCell ref="X49:X50"/>
    <mergeCell ref="V70:V71"/>
    <mergeCell ref="T59:T60"/>
    <mergeCell ref="C64:F64"/>
    <mergeCell ref="I64:L65"/>
    <mergeCell ref="V64:V65"/>
    <mergeCell ref="W64:W65"/>
    <mergeCell ref="C65:C66"/>
    <mergeCell ref="D65:D66"/>
    <mergeCell ref="E65:E66"/>
    <mergeCell ref="H49:H50"/>
    <mergeCell ref="H47:H48"/>
    <mergeCell ref="H43:H44"/>
    <mergeCell ref="H51:H52"/>
    <mergeCell ref="H53:H54"/>
    <mergeCell ref="H55:H56"/>
    <mergeCell ref="O51:O52"/>
    <mergeCell ref="T51:T52"/>
    <mergeCell ref="X51:X52"/>
    <mergeCell ref="E59:G59"/>
    <mergeCell ref="H57:H58"/>
    <mergeCell ref="H59:H60"/>
    <mergeCell ref="O53:O54"/>
    <mergeCell ref="X53:X54"/>
    <mergeCell ref="X55:X56"/>
    <mergeCell ref="T37:T38"/>
    <mergeCell ref="O41:O42"/>
    <mergeCell ref="X41:X42"/>
    <mergeCell ref="O43:O44"/>
    <mergeCell ref="X43:X44"/>
    <mergeCell ref="X45:X46"/>
    <mergeCell ref="K29:L29"/>
    <mergeCell ref="O29:O30"/>
    <mergeCell ref="K30:L30"/>
    <mergeCell ref="K31:L31"/>
    <mergeCell ref="X34:X35"/>
    <mergeCell ref="R13:S13"/>
    <mergeCell ref="R23:S23"/>
    <mergeCell ref="R21:S21"/>
    <mergeCell ref="R19:S19"/>
    <mergeCell ref="R17:S17"/>
    <mergeCell ref="T27:T28"/>
    <mergeCell ref="X25:X26"/>
    <mergeCell ref="H29:H30"/>
    <mergeCell ref="O27:O28"/>
    <mergeCell ref="X27:X28"/>
    <mergeCell ref="K21:L21"/>
    <mergeCell ref="X21:X22"/>
    <mergeCell ref="K22:L22"/>
    <mergeCell ref="T25:T26"/>
    <mergeCell ref="X23:X24"/>
    <mergeCell ref="R24:S24"/>
    <mergeCell ref="K15:L15"/>
    <mergeCell ref="X15:X16"/>
    <mergeCell ref="K16:L16"/>
    <mergeCell ref="X17:X18"/>
    <mergeCell ref="O19:O20"/>
    <mergeCell ref="X19:X20"/>
    <mergeCell ref="O17:O18"/>
    <mergeCell ref="O21:O22"/>
    <mergeCell ref="O15:O16"/>
    <mergeCell ref="O11:O12"/>
    <mergeCell ref="X11:X12"/>
    <mergeCell ref="H15:H16"/>
    <mergeCell ref="K13:L13"/>
    <mergeCell ref="O13:O14"/>
    <mergeCell ref="X13:X14"/>
    <mergeCell ref="R12:S12"/>
    <mergeCell ref="N2:Q2"/>
    <mergeCell ref="N4:Q4"/>
    <mergeCell ref="K6:L6"/>
    <mergeCell ref="K7:L7"/>
    <mergeCell ref="T7:T8"/>
    <mergeCell ref="X9:X10"/>
    <mergeCell ref="R8:S8"/>
    <mergeCell ref="O9:O10"/>
  </mergeCells>
  <phoneticPr fontId="1"/>
  <pageMargins left="0.39370078740157483" right="0.39370078740157483" top="0.39370078740157483" bottom="0.39370078740157483" header="0.51181102362204722" footer="0.51181102362204722"/>
  <pageSetup paperSize="9" scale="67" orientation="landscape" r:id="rId1"/>
  <headerFooter alignWithMargins="0"/>
</worksheet>
</file>

<file path=xl/worksheets/sheet5.xml><?xml version="1.0" encoding="utf-8"?>
<worksheet xmlns="http://schemas.openxmlformats.org/spreadsheetml/2006/main" xmlns:r="http://schemas.openxmlformats.org/officeDocument/2006/relationships">
  <sheetPr codeName="Sheet5">
    <pageSetUpPr fitToPage="1"/>
  </sheetPr>
  <dimension ref="A1:AA49"/>
  <sheetViews>
    <sheetView zoomScaleNormal="100" workbookViewId="0">
      <selection activeCell="AA4" sqref="AA4"/>
    </sheetView>
  </sheetViews>
  <sheetFormatPr defaultRowHeight="14.1" customHeight="1"/>
  <cols>
    <col min="1" max="1" width="7.375" style="1" customWidth="1"/>
    <col min="2" max="2" width="11.25" style="1" customWidth="1"/>
    <col min="3" max="3" width="7.375" style="1" customWidth="1"/>
    <col min="4" max="4" width="11.25" style="1" customWidth="1"/>
    <col min="5" max="5" width="6.25" style="1" customWidth="1"/>
    <col min="6" max="6" width="7.375" style="1" customWidth="1"/>
    <col min="7" max="8" width="6.125" style="1" customWidth="1"/>
    <col min="9" max="10" width="6.25" style="1" customWidth="1"/>
    <col min="11" max="11" width="18.75" style="1" customWidth="1"/>
    <col min="12" max="12" width="16.625" style="1" customWidth="1"/>
    <col min="13" max="13" width="8.875" style="1" customWidth="1"/>
    <col min="14" max="14" width="6.125" style="1" customWidth="1"/>
    <col min="15" max="17" width="6.25" style="1" customWidth="1"/>
    <col min="18" max="18" width="18.75" style="1" customWidth="1"/>
    <col min="19" max="19" width="25" style="1" customWidth="1"/>
    <col min="20" max="20" width="6.125" style="1" customWidth="1"/>
    <col min="21" max="21" width="4.125" style="1" customWidth="1"/>
    <col min="22" max="22" width="16.625" style="1" customWidth="1"/>
    <col min="23" max="23" width="22.625" style="1" customWidth="1"/>
    <col min="24" max="24" width="6.125" style="1" customWidth="1"/>
    <col min="25" max="16384" width="9" style="1"/>
  </cols>
  <sheetData>
    <row r="1" spans="2:27" ht="23.25" customHeight="1" thickBot="1">
      <c r="B1" s="235" t="s">
        <v>738</v>
      </c>
      <c r="AA1" s="90" t="s">
        <v>345</v>
      </c>
    </row>
    <row r="2" spans="2:27" ht="15.95" customHeight="1" thickBot="1">
      <c r="K2" s="2" t="s">
        <v>1</v>
      </c>
      <c r="L2" s="206"/>
      <c r="M2" s="206"/>
      <c r="N2" s="29" t="s">
        <v>740</v>
      </c>
      <c r="O2" s="237"/>
      <c r="P2" s="237"/>
      <c r="Q2" s="237"/>
      <c r="R2" s="236"/>
      <c r="S2" s="7" t="s">
        <v>737</v>
      </c>
      <c r="T2" s="206" t="s">
        <v>736</v>
      </c>
      <c r="U2" s="167"/>
      <c r="AA2" s="91">
        <v>988</v>
      </c>
    </row>
    <row r="3" spans="2:27" ht="26.25" customHeight="1" thickBot="1">
      <c r="B3" s="235" t="s">
        <v>2</v>
      </c>
      <c r="C3" s="235"/>
      <c r="D3" s="235"/>
      <c r="E3" s="228"/>
      <c r="F3" s="228"/>
      <c r="G3" s="231"/>
      <c r="H3" s="234"/>
      <c r="I3" s="228" t="s">
        <v>735</v>
      </c>
      <c r="K3" s="400" t="str">
        <f>VLOOKUP(AA2,車両一覧!B2:N206,11,0)</f>
        <v>セブン通商　株式会社</v>
      </c>
      <c r="L3" s="401"/>
      <c r="M3" s="402"/>
      <c r="N3" s="409" t="str">
        <f>VLOOKUP(AA2,車両一覧!B2:N206,4,0)</f>
        <v>三河100え988</v>
      </c>
      <c r="O3" s="410"/>
      <c r="P3" s="410"/>
      <c r="Q3" s="410"/>
      <c r="R3" s="411"/>
      <c r="S3" s="240" t="str">
        <f>VLOOKUP(AA2,車両一覧!B2:N206,5,0)</f>
        <v>日通</v>
      </c>
      <c r="T3" s="232"/>
      <c r="U3" s="18"/>
    </row>
    <row r="4" spans="2:27" ht="15.95" customHeight="1" thickBot="1">
      <c r="E4" s="228"/>
      <c r="F4" s="228"/>
      <c r="G4" s="228"/>
      <c r="H4" s="228"/>
      <c r="I4" s="228"/>
      <c r="K4" s="11" t="s">
        <v>4</v>
      </c>
      <c r="L4" s="189"/>
      <c r="M4" s="189"/>
      <c r="N4" s="87" t="s">
        <v>739</v>
      </c>
      <c r="O4" s="233"/>
      <c r="P4" s="398"/>
      <c r="Q4" s="398"/>
      <c r="R4" s="399"/>
      <c r="S4" s="16" t="s">
        <v>734</v>
      </c>
      <c r="T4" s="232"/>
      <c r="U4" s="18"/>
    </row>
    <row r="5" spans="2:27" ht="25.5" customHeight="1" thickTop="1" thickBot="1">
      <c r="B5" s="359" t="s">
        <v>5</v>
      </c>
      <c r="C5" s="359"/>
      <c r="E5" s="231"/>
      <c r="F5" s="228" t="s">
        <v>733</v>
      </c>
      <c r="G5" s="230"/>
      <c r="H5" s="229"/>
      <c r="I5" s="228" t="s">
        <v>732</v>
      </c>
      <c r="J5" s="8"/>
      <c r="K5" s="403" t="str">
        <f>VLOOKUP(AA2,車両一覧!B2:N206,12,0)</f>
        <v>愛知県西尾市吉良町吉田亥改13-3</v>
      </c>
      <c r="L5" s="404"/>
      <c r="M5" s="405"/>
      <c r="N5" s="406" t="str">
        <f>VLOOKUP(AA2,車両一覧!B2:N206,9,0)</f>
        <v>愛［51］8272愛</v>
      </c>
      <c r="O5" s="407"/>
      <c r="P5" s="407"/>
      <c r="Q5" s="407"/>
      <c r="R5" s="408"/>
      <c r="S5" s="241" t="str">
        <f>VLOOKUP(AA2,車両一覧!B2:N206,7,0)</f>
        <v>平成20年9月</v>
      </c>
      <c r="T5" s="227"/>
      <c r="U5" s="26"/>
    </row>
    <row r="6" spans="2:27" ht="17.100000000000001" customHeight="1" thickBot="1">
      <c r="B6" s="27" t="s">
        <v>7</v>
      </c>
      <c r="C6" s="27"/>
    </row>
    <row r="7" spans="2:27" ht="18" customHeight="1" thickBot="1">
      <c r="B7" s="363" t="s">
        <v>8</v>
      </c>
      <c r="C7" s="364"/>
      <c r="D7" s="365" t="s">
        <v>9</v>
      </c>
      <c r="E7" s="366"/>
      <c r="F7" s="364"/>
      <c r="G7" s="30"/>
      <c r="H7" s="12"/>
      <c r="K7" s="28" t="s">
        <v>8</v>
      </c>
      <c r="L7" s="238" t="s">
        <v>9</v>
      </c>
      <c r="M7" s="4"/>
      <c r="N7" s="166"/>
      <c r="R7" s="28" t="s">
        <v>8</v>
      </c>
      <c r="S7" s="7" t="s">
        <v>9</v>
      </c>
      <c r="T7" s="30"/>
      <c r="U7" s="211"/>
      <c r="V7" s="211"/>
      <c r="W7" s="211"/>
      <c r="X7" s="211"/>
    </row>
    <row r="8" spans="2:27" ht="18" customHeight="1" thickTop="1">
      <c r="B8" s="302" t="s">
        <v>69</v>
      </c>
      <c r="C8" s="303"/>
      <c r="D8" s="367"/>
      <c r="E8" s="367"/>
      <c r="F8" s="367"/>
      <c r="G8" s="18"/>
      <c r="H8" s="12"/>
      <c r="K8" s="31"/>
      <c r="L8" s="36" t="s">
        <v>45</v>
      </c>
      <c r="M8" s="54"/>
      <c r="N8" s="221"/>
      <c r="R8" s="31" t="s">
        <v>76</v>
      </c>
      <c r="S8" s="12"/>
      <c r="T8" s="18"/>
      <c r="U8" s="211"/>
      <c r="V8" s="212"/>
      <c r="W8" s="211"/>
      <c r="X8" s="211"/>
    </row>
    <row r="9" spans="2:27" ht="18" customHeight="1" thickBot="1">
      <c r="B9" s="273"/>
      <c r="C9" s="294"/>
      <c r="D9" s="294"/>
      <c r="E9" s="294"/>
      <c r="F9" s="294"/>
      <c r="G9" s="18"/>
      <c r="H9" s="12"/>
      <c r="K9" s="46"/>
      <c r="L9" s="17"/>
      <c r="M9" s="64"/>
      <c r="N9" s="219"/>
      <c r="R9" s="46"/>
      <c r="S9" s="40"/>
      <c r="T9" s="194"/>
      <c r="U9" s="211"/>
      <c r="V9" s="211"/>
      <c r="W9" s="211"/>
      <c r="X9" s="211"/>
    </row>
    <row r="10" spans="2:27" ht="18" customHeight="1" thickTop="1">
      <c r="B10" s="299" t="s">
        <v>731</v>
      </c>
      <c r="C10" s="300"/>
      <c r="D10" s="322" t="s">
        <v>81</v>
      </c>
      <c r="E10" s="332"/>
      <c r="F10" s="332"/>
      <c r="G10" s="218"/>
      <c r="H10" s="211"/>
      <c r="K10" s="31" t="s">
        <v>75</v>
      </c>
      <c r="L10" s="35"/>
      <c r="M10" s="35"/>
      <c r="N10" s="18"/>
      <c r="R10" s="45" t="s">
        <v>98</v>
      </c>
      <c r="S10" s="51" t="s">
        <v>99</v>
      </c>
      <c r="T10" s="218"/>
      <c r="U10" s="211"/>
      <c r="V10" s="211"/>
      <c r="W10" s="211"/>
      <c r="X10" s="211"/>
    </row>
    <row r="11" spans="2:27" ht="18" customHeight="1">
      <c r="B11" s="273"/>
      <c r="C11" s="274"/>
      <c r="D11" s="347"/>
      <c r="E11" s="294"/>
      <c r="F11" s="294"/>
      <c r="G11" s="220"/>
      <c r="H11" s="211"/>
      <c r="K11" s="46"/>
      <c r="L11" s="40"/>
      <c r="M11" s="40"/>
      <c r="N11" s="194"/>
      <c r="R11" s="42"/>
      <c r="S11" s="52"/>
      <c r="T11" s="220"/>
      <c r="U11" s="211"/>
      <c r="V11" s="211"/>
      <c r="W11" s="211"/>
      <c r="X11" s="211"/>
    </row>
    <row r="12" spans="2:27" ht="18" customHeight="1">
      <c r="B12" s="299" t="s">
        <v>87</v>
      </c>
      <c r="C12" s="300"/>
      <c r="D12" s="322" t="s">
        <v>88</v>
      </c>
      <c r="E12" s="332"/>
      <c r="F12" s="300"/>
      <c r="G12" s="218"/>
      <c r="H12" s="211"/>
      <c r="K12" s="44" t="s">
        <v>649</v>
      </c>
      <c r="L12" s="322" t="s">
        <v>82</v>
      </c>
      <c r="M12" s="300"/>
      <c r="N12" s="218"/>
      <c r="R12" s="11"/>
      <c r="S12" s="35"/>
      <c r="T12" s="18"/>
      <c r="U12" s="211"/>
      <c r="V12" s="211"/>
      <c r="W12" s="211"/>
      <c r="X12" s="211"/>
    </row>
    <row r="13" spans="2:27" ht="18" customHeight="1">
      <c r="B13" s="291"/>
      <c r="C13" s="368"/>
      <c r="D13" s="346"/>
      <c r="E13" s="292"/>
      <c r="F13" s="292"/>
      <c r="G13" s="217"/>
      <c r="H13" s="211"/>
      <c r="K13" s="11"/>
      <c r="L13" s="315"/>
      <c r="M13" s="376"/>
      <c r="N13" s="220"/>
      <c r="R13" s="11"/>
      <c r="S13" s="40"/>
      <c r="T13" s="194"/>
      <c r="U13" s="211"/>
      <c r="V13" s="211"/>
      <c r="W13" s="211"/>
      <c r="X13" s="211"/>
    </row>
    <row r="14" spans="2:27" ht="18" customHeight="1">
      <c r="B14" s="291"/>
      <c r="C14" s="368"/>
      <c r="D14" s="322" t="s">
        <v>81</v>
      </c>
      <c r="E14" s="332"/>
      <c r="F14" s="300"/>
      <c r="G14" s="218"/>
      <c r="H14" s="211"/>
      <c r="K14" s="11"/>
      <c r="L14" s="36" t="s">
        <v>729</v>
      </c>
      <c r="M14" s="36"/>
      <c r="N14" s="218"/>
      <c r="R14" s="45" t="s">
        <v>730</v>
      </c>
      <c r="S14" s="51" t="s">
        <v>91</v>
      </c>
      <c r="T14" s="217"/>
      <c r="U14" s="211"/>
      <c r="V14" s="211"/>
      <c r="W14" s="211"/>
      <c r="X14" s="211"/>
    </row>
    <row r="15" spans="2:27" ht="18" customHeight="1" thickBot="1">
      <c r="B15" s="273"/>
      <c r="C15" s="274"/>
      <c r="D15" s="347"/>
      <c r="E15" s="294"/>
      <c r="F15" s="294"/>
      <c r="G15" s="220"/>
      <c r="H15" s="211"/>
      <c r="K15" s="11"/>
      <c r="L15" s="41" t="s">
        <v>90</v>
      </c>
      <c r="M15" s="40"/>
      <c r="N15" s="217"/>
      <c r="R15" s="42"/>
      <c r="S15" s="41"/>
      <c r="T15" s="217"/>
      <c r="U15" s="211"/>
      <c r="V15" s="211"/>
      <c r="W15" s="211"/>
      <c r="X15" s="211"/>
    </row>
    <row r="16" spans="2:27" ht="18" customHeight="1" thickTop="1">
      <c r="B16" s="299" t="s">
        <v>94</v>
      </c>
      <c r="C16" s="300"/>
      <c r="D16" s="322" t="s">
        <v>95</v>
      </c>
      <c r="E16" s="332"/>
      <c r="F16" s="300"/>
      <c r="G16" s="217"/>
      <c r="H16" s="211"/>
      <c r="K16" s="11"/>
      <c r="L16" s="36" t="s">
        <v>729</v>
      </c>
      <c r="M16" s="12"/>
      <c r="N16" s="221"/>
      <c r="R16" s="11"/>
      <c r="S16" s="35"/>
      <c r="T16" s="108"/>
      <c r="U16" s="211"/>
      <c r="V16" s="211"/>
      <c r="W16" s="211"/>
      <c r="X16" s="211"/>
    </row>
    <row r="17" spans="2:24" ht="18" customHeight="1" thickBot="1">
      <c r="B17" s="291"/>
      <c r="C17" s="368"/>
      <c r="D17" s="347"/>
      <c r="E17" s="294"/>
      <c r="F17" s="274"/>
      <c r="G17" s="217"/>
      <c r="H17" s="211"/>
      <c r="K17" s="11"/>
      <c r="L17" s="41" t="s">
        <v>92</v>
      </c>
      <c r="M17" s="40"/>
      <c r="N17" s="219"/>
      <c r="R17" s="11"/>
      <c r="S17" s="40"/>
      <c r="T17" s="194"/>
      <c r="U17" s="211"/>
      <c r="V17" s="211"/>
      <c r="W17" s="211"/>
      <c r="X17" s="211"/>
    </row>
    <row r="18" spans="2:24" ht="18" customHeight="1" thickTop="1">
      <c r="B18" s="299" t="s">
        <v>728</v>
      </c>
      <c r="C18" s="300"/>
      <c r="D18" s="322" t="s">
        <v>727</v>
      </c>
      <c r="E18" s="332"/>
      <c r="F18" s="300"/>
      <c r="G18" s="218"/>
      <c r="H18" s="211"/>
      <c r="K18" s="11"/>
      <c r="L18" s="36" t="s">
        <v>726</v>
      </c>
      <c r="M18" s="12"/>
      <c r="N18" s="221"/>
      <c r="R18" s="45" t="s">
        <v>111</v>
      </c>
      <c r="S18" s="51" t="s">
        <v>117</v>
      </c>
      <c r="T18" s="218"/>
      <c r="U18" s="211"/>
      <c r="V18" s="211"/>
      <c r="W18" s="211"/>
      <c r="X18" s="211"/>
    </row>
    <row r="19" spans="2:24" ht="18" customHeight="1" thickBot="1">
      <c r="B19" s="291"/>
      <c r="C19" s="368"/>
      <c r="D19" s="347"/>
      <c r="E19" s="294"/>
      <c r="F19" s="274"/>
      <c r="G19" s="217"/>
      <c r="H19" s="211"/>
      <c r="K19" s="11"/>
      <c r="L19" s="41" t="s">
        <v>102</v>
      </c>
      <c r="M19" s="40"/>
      <c r="N19" s="219"/>
      <c r="R19" s="42"/>
      <c r="S19" s="52"/>
      <c r="T19" s="217"/>
      <c r="U19" s="211"/>
      <c r="V19" s="211"/>
      <c r="W19" s="211"/>
      <c r="X19" s="211"/>
    </row>
    <row r="20" spans="2:24" ht="18" customHeight="1" thickTop="1">
      <c r="B20" s="291"/>
      <c r="C20" s="368"/>
      <c r="D20" s="322" t="s">
        <v>118</v>
      </c>
      <c r="E20" s="332"/>
      <c r="F20" s="343"/>
      <c r="G20" s="221"/>
      <c r="H20" s="211"/>
      <c r="K20" s="11"/>
      <c r="L20" s="36" t="s">
        <v>725</v>
      </c>
      <c r="M20" s="12"/>
      <c r="N20" s="221"/>
      <c r="R20" s="11"/>
      <c r="S20" s="35"/>
      <c r="T20" s="108"/>
      <c r="U20" s="211"/>
      <c r="V20" s="211"/>
      <c r="W20" s="211"/>
      <c r="X20" s="211"/>
    </row>
    <row r="21" spans="2:24" ht="18" customHeight="1" thickBot="1">
      <c r="B21" s="273"/>
      <c r="C21" s="274"/>
      <c r="D21" s="347"/>
      <c r="E21" s="294"/>
      <c r="F21" s="348"/>
      <c r="G21" s="219"/>
      <c r="H21" s="211"/>
      <c r="K21" s="46"/>
      <c r="L21" s="41"/>
      <c r="M21" s="40"/>
      <c r="N21" s="219"/>
      <c r="R21" s="11"/>
      <c r="S21" s="40"/>
      <c r="T21" s="226"/>
      <c r="U21" s="211"/>
      <c r="V21" s="211"/>
      <c r="W21" s="211"/>
      <c r="X21" s="211"/>
    </row>
    <row r="22" spans="2:24" ht="18" customHeight="1" thickTop="1">
      <c r="B22" s="299" t="s">
        <v>724</v>
      </c>
      <c r="C22" s="300"/>
      <c r="D22" s="17" t="s">
        <v>66</v>
      </c>
      <c r="E22" s="12"/>
      <c r="F22" s="12"/>
      <c r="G22" s="221"/>
      <c r="H22" s="211"/>
      <c r="K22" s="44" t="s">
        <v>109</v>
      </c>
      <c r="L22" s="35"/>
      <c r="M22" s="12"/>
      <c r="N22" s="225"/>
      <c r="R22" s="45" t="s">
        <v>121</v>
      </c>
      <c r="S22" s="36" t="s">
        <v>122</v>
      </c>
      <c r="T22" s="221"/>
      <c r="U22" s="211"/>
      <c r="V22" s="211"/>
      <c r="W22" s="211"/>
      <c r="X22" s="211"/>
    </row>
    <row r="23" spans="2:24" ht="18" customHeight="1" thickBot="1">
      <c r="B23" s="375" t="s">
        <v>723</v>
      </c>
      <c r="C23" s="376"/>
      <c r="D23" s="315"/>
      <c r="E23" s="377"/>
      <c r="F23" s="316"/>
      <c r="G23" s="219"/>
      <c r="H23" s="211"/>
      <c r="K23" s="46"/>
      <c r="L23" s="40"/>
      <c r="M23" s="40"/>
      <c r="N23" s="48"/>
      <c r="R23" s="38"/>
      <c r="S23" s="41"/>
      <c r="T23" s="219"/>
      <c r="U23" s="211"/>
      <c r="V23" s="211"/>
      <c r="W23" s="211"/>
      <c r="X23" s="211"/>
    </row>
    <row r="24" spans="2:24" ht="18" customHeight="1" thickTop="1">
      <c r="B24" s="44" t="s">
        <v>722</v>
      </c>
      <c r="C24" s="53"/>
      <c r="D24" s="322" t="s">
        <v>138</v>
      </c>
      <c r="E24" s="332"/>
      <c r="F24" s="332"/>
      <c r="G24" s="224"/>
      <c r="H24" s="211"/>
      <c r="K24" s="44" t="s">
        <v>721</v>
      </c>
      <c r="L24" s="36" t="s">
        <v>115</v>
      </c>
      <c r="M24" s="53"/>
      <c r="N24" s="218"/>
      <c r="R24" s="38"/>
      <c r="S24" s="36" t="s">
        <v>720</v>
      </c>
      <c r="T24" s="221"/>
      <c r="U24" s="211"/>
      <c r="V24" s="211"/>
      <c r="W24" s="211"/>
      <c r="X24" s="211"/>
    </row>
    <row r="25" spans="2:24" ht="18" customHeight="1" thickBot="1">
      <c r="B25" s="11"/>
      <c r="C25" s="13"/>
      <c r="D25" s="347"/>
      <c r="E25" s="294"/>
      <c r="F25" s="294"/>
      <c r="G25" s="223"/>
      <c r="H25" s="211"/>
      <c r="K25" s="11"/>
      <c r="L25" s="41"/>
      <c r="M25" s="13"/>
      <c r="N25" s="217"/>
      <c r="R25" s="38"/>
      <c r="S25" s="41"/>
      <c r="T25" s="219"/>
      <c r="U25" s="211"/>
      <c r="V25" s="211"/>
      <c r="W25" s="211"/>
      <c r="X25" s="211"/>
    </row>
    <row r="26" spans="2:24" ht="18" customHeight="1" thickTop="1">
      <c r="B26" s="45" t="s">
        <v>719</v>
      </c>
      <c r="C26" s="35"/>
      <c r="D26" s="322" t="s">
        <v>12</v>
      </c>
      <c r="E26" s="332"/>
      <c r="F26" s="300"/>
      <c r="G26" s="217"/>
      <c r="H26" s="211"/>
      <c r="K26" s="11"/>
      <c r="L26" s="173" t="s">
        <v>119</v>
      </c>
      <c r="M26" s="180"/>
      <c r="N26" s="221"/>
      <c r="R26" s="44"/>
      <c r="S26" s="35"/>
      <c r="T26" s="108"/>
      <c r="U26" s="211"/>
      <c r="V26" s="211"/>
      <c r="W26" s="211"/>
      <c r="X26" s="211"/>
    </row>
    <row r="27" spans="2:24" ht="18" customHeight="1" thickBot="1">
      <c r="B27" s="11" t="s">
        <v>718</v>
      </c>
      <c r="C27" s="13"/>
      <c r="D27" s="347"/>
      <c r="E27" s="294"/>
      <c r="F27" s="274"/>
      <c r="G27" s="220"/>
      <c r="H27" s="211"/>
      <c r="K27" s="46"/>
      <c r="L27" s="178" t="s">
        <v>104</v>
      </c>
      <c r="M27" s="160"/>
      <c r="N27" s="219"/>
      <c r="R27" s="46"/>
      <c r="S27" s="40"/>
      <c r="T27" s="18"/>
      <c r="U27" s="211"/>
      <c r="V27" s="211"/>
      <c r="W27" s="211"/>
      <c r="X27" s="211"/>
    </row>
    <row r="28" spans="2:24" ht="18" customHeight="1" thickTop="1">
      <c r="B28" s="11"/>
      <c r="C28" s="13"/>
      <c r="D28" s="51" t="s">
        <v>16</v>
      </c>
      <c r="E28" s="51"/>
      <c r="F28" s="51"/>
      <c r="G28" s="218"/>
      <c r="H28" s="211"/>
      <c r="K28" s="11" t="s">
        <v>717</v>
      </c>
      <c r="L28" s="36" t="s">
        <v>134</v>
      </c>
      <c r="M28" s="35"/>
      <c r="N28" s="218"/>
      <c r="R28" s="38" t="s">
        <v>142</v>
      </c>
      <c r="S28" s="181" t="s">
        <v>143</v>
      </c>
      <c r="T28" s="218"/>
      <c r="U28" s="211"/>
      <c r="V28" s="211"/>
      <c r="W28" s="211"/>
      <c r="X28" s="211"/>
    </row>
    <row r="29" spans="2:24" ht="18" customHeight="1" thickBot="1">
      <c r="B29" s="11"/>
      <c r="C29" s="13"/>
      <c r="D29" s="41" t="s">
        <v>20</v>
      </c>
      <c r="E29" s="40"/>
      <c r="F29" s="48"/>
      <c r="G29" s="217"/>
      <c r="H29" s="211"/>
      <c r="K29" s="11"/>
      <c r="L29" s="178"/>
      <c r="M29" s="183"/>
      <c r="N29" s="220"/>
      <c r="R29" s="38"/>
      <c r="S29" s="181"/>
      <c r="T29" s="217"/>
      <c r="U29" s="211"/>
      <c r="V29" s="211"/>
      <c r="W29" s="211"/>
      <c r="X29" s="211"/>
    </row>
    <row r="30" spans="2:24" ht="18" customHeight="1" thickTop="1">
      <c r="B30" s="11"/>
      <c r="C30" s="13"/>
      <c r="D30" s="173" t="s">
        <v>23</v>
      </c>
      <c r="E30" s="169"/>
      <c r="F30" s="180"/>
      <c r="G30" s="221"/>
      <c r="H30" s="211"/>
      <c r="K30" s="38"/>
      <c r="L30" s="36" t="s">
        <v>139</v>
      </c>
      <c r="M30" s="35"/>
      <c r="N30" s="218"/>
      <c r="R30" s="44"/>
      <c r="S30" s="35"/>
      <c r="T30" s="108"/>
      <c r="U30" s="211"/>
      <c r="V30" s="211"/>
      <c r="W30" s="211"/>
      <c r="X30" s="211"/>
    </row>
    <row r="31" spans="2:24" ht="18" customHeight="1" thickBot="1">
      <c r="B31" s="162"/>
      <c r="C31" s="163"/>
      <c r="D31" s="178"/>
      <c r="E31" s="183"/>
      <c r="F31" s="179"/>
      <c r="G31" s="219"/>
      <c r="H31" s="211"/>
      <c r="K31" s="38"/>
      <c r="L31" s="41"/>
      <c r="M31" s="40"/>
      <c r="N31" s="220"/>
      <c r="R31" s="11"/>
      <c r="S31" s="12"/>
      <c r="T31" s="18"/>
      <c r="U31" s="211"/>
      <c r="V31" s="211"/>
      <c r="W31" s="211"/>
      <c r="X31" s="211"/>
    </row>
    <row r="32" spans="2:24" ht="18" customHeight="1" thickTop="1">
      <c r="B32" s="44" t="s">
        <v>259</v>
      </c>
      <c r="C32" s="53"/>
      <c r="D32" s="36" t="s">
        <v>27</v>
      </c>
      <c r="E32" s="12"/>
      <c r="F32" s="12"/>
      <c r="G32" s="221"/>
      <c r="H32" s="211"/>
      <c r="K32" s="38"/>
      <c r="L32" s="36" t="s">
        <v>144</v>
      </c>
      <c r="M32" s="35"/>
      <c r="N32" s="218"/>
      <c r="R32" s="11"/>
      <c r="S32" s="12"/>
      <c r="T32" s="216"/>
      <c r="U32" s="211"/>
      <c r="V32" s="211"/>
      <c r="W32" s="211"/>
      <c r="X32" s="211"/>
    </row>
    <row r="33" spans="1:24" ht="18" customHeight="1" thickBot="1">
      <c r="B33" s="46"/>
      <c r="C33" s="48"/>
      <c r="D33" s="40"/>
      <c r="E33" s="40"/>
      <c r="F33" s="40"/>
      <c r="G33" s="219"/>
      <c r="H33" s="211"/>
      <c r="K33" s="38"/>
      <c r="L33" s="17" t="s">
        <v>289</v>
      </c>
      <c r="M33" s="40"/>
      <c r="N33" s="222"/>
      <c r="R33" s="11"/>
      <c r="S33" s="12"/>
      <c r="T33" s="216"/>
      <c r="U33" s="211"/>
      <c r="V33" s="211"/>
      <c r="W33" s="211"/>
      <c r="X33" s="211"/>
    </row>
    <row r="34" spans="1:24" ht="18" customHeight="1" thickTop="1">
      <c r="B34" s="44" t="s">
        <v>261</v>
      </c>
      <c r="C34" s="53"/>
      <c r="D34" s="12" t="s">
        <v>35</v>
      </c>
      <c r="E34" s="12"/>
      <c r="F34" s="12"/>
      <c r="G34" s="218"/>
      <c r="H34" s="211"/>
      <c r="K34" s="11"/>
      <c r="L34" s="36" t="s">
        <v>13</v>
      </c>
      <c r="M34" s="64"/>
      <c r="N34" s="221"/>
      <c r="R34" s="11"/>
      <c r="S34" s="12"/>
      <c r="T34" s="216"/>
      <c r="U34" s="211"/>
      <c r="V34" s="211"/>
      <c r="W34" s="211"/>
      <c r="X34" s="211"/>
    </row>
    <row r="35" spans="1:24" ht="18" customHeight="1" thickBot="1">
      <c r="B35" s="11" t="s">
        <v>38</v>
      </c>
      <c r="C35" s="13"/>
      <c r="D35" s="12" t="s">
        <v>289</v>
      </c>
      <c r="E35" s="12"/>
      <c r="F35" s="12"/>
      <c r="G35" s="220"/>
      <c r="H35" s="211"/>
      <c r="K35" s="11"/>
      <c r="L35" s="17"/>
      <c r="M35" s="55"/>
      <c r="N35" s="219"/>
      <c r="R35" s="11"/>
      <c r="S35" s="12"/>
      <c r="T35" s="216"/>
      <c r="U35" s="211"/>
      <c r="V35" s="211"/>
      <c r="W35" s="211"/>
      <c r="X35" s="211"/>
    </row>
    <row r="36" spans="1:24" ht="18" customHeight="1" thickTop="1">
      <c r="B36" s="161"/>
      <c r="C36" s="174"/>
      <c r="D36" s="173" t="s">
        <v>40</v>
      </c>
      <c r="E36" s="169"/>
      <c r="F36" s="50"/>
      <c r="G36" s="218"/>
      <c r="H36" s="211"/>
      <c r="K36" s="45" t="s">
        <v>257</v>
      </c>
      <c r="L36" s="36" t="s">
        <v>17</v>
      </c>
      <c r="M36" s="12"/>
      <c r="N36" s="217"/>
      <c r="R36" s="11"/>
      <c r="S36" s="12"/>
      <c r="T36" s="216"/>
      <c r="U36" s="211"/>
      <c r="V36" s="211"/>
      <c r="W36" s="211"/>
      <c r="X36" s="211"/>
    </row>
    <row r="37" spans="1:24" ht="18" customHeight="1" thickBot="1">
      <c r="B37" s="164"/>
      <c r="C37" s="165"/>
      <c r="D37" s="215"/>
      <c r="E37" s="186"/>
      <c r="F37" s="165"/>
      <c r="G37" s="214"/>
      <c r="H37" s="211"/>
      <c r="K37" s="56"/>
      <c r="L37" s="25"/>
      <c r="M37" s="22"/>
      <c r="N37" s="214"/>
      <c r="R37" s="21"/>
      <c r="S37" s="22"/>
      <c r="T37" s="213"/>
      <c r="U37" s="211"/>
      <c r="V37" s="211"/>
      <c r="W37" s="211"/>
      <c r="X37" s="211"/>
    </row>
    <row r="38" spans="1:24" ht="12" customHeight="1">
      <c r="B38" s="212"/>
      <c r="C38" s="212"/>
      <c r="D38" s="374"/>
      <c r="E38" s="374"/>
      <c r="F38" s="374"/>
      <c r="G38" s="211"/>
      <c r="H38" s="211"/>
      <c r="K38" s="211"/>
      <c r="L38" s="211"/>
      <c r="M38" s="211"/>
      <c r="N38" s="211"/>
      <c r="R38" s="211"/>
      <c r="S38" s="211"/>
      <c r="T38" s="211"/>
      <c r="U38" s="211"/>
      <c r="V38" s="211"/>
      <c r="W38" s="211"/>
      <c r="X38" s="211"/>
    </row>
    <row r="39" spans="1:24" ht="12" customHeight="1">
      <c r="B39" s="1" t="s">
        <v>716</v>
      </c>
    </row>
    <row r="40" spans="1:24" ht="12.75" customHeight="1" thickBot="1"/>
    <row r="41" spans="1:24" ht="13.5" customHeight="1">
      <c r="A41" s="210" t="s">
        <v>715</v>
      </c>
      <c r="B41" s="209"/>
      <c r="C41" s="209"/>
      <c r="D41" s="208"/>
      <c r="F41" s="207" t="s">
        <v>147</v>
      </c>
      <c r="G41" s="206"/>
      <c r="H41" s="206"/>
      <c r="I41" s="167"/>
      <c r="J41" s="372" t="s">
        <v>714</v>
      </c>
      <c r="K41" s="373"/>
      <c r="L41" s="373"/>
      <c r="M41" s="373"/>
      <c r="N41" s="373"/>
      <c r="O41" s="373"/>
      <c r="P41" s="205"/>
      <c r="Q41" s="4"/>
      <c r="R41" s="386" t="s">
        <v>148</v>
      </c>
      <c r="S41" s="388"/>
      <c r="T41" s="389"/>
      <c r="V41" s="12"/>
      <c r="W41" s="189"/>
    </row>
    <row r="42" spans="1:24" ht="13.5" customHeight="1">
      <c r="A42" s="203" t="s">
        <v>713</v>
      </c>
      <c r="B42" s="204" t="s">
        <v>712</v>
      </c>
      <c r="C42" s="204" t="s">
        <v>711</v>
      </c>
      <c r="D42" s="201" t="s">
        <v>710</v>
      </c>
      <c r="F42" s="200"/>
      <c r="G42" s="189"/>
      <c r="H42" s="189"/>
      <c r="I42" s="18"/>
      <c r="J42" s="242"/>
      <c r="K42" s="394" t="str">
        <f>VLOOKUP(AA2,車両一覧!B2:N206,12,0)</f>
        <v>愛知県西尾市吉良町吉田亥改13-3</v>
      </c>
      <c r="L42" s="394"/>
      <c r="M42" s="394"/>
      <c r="N42" s="394"/>
      <c r="O42" s="394"/>
      <c r="P42" s="394"/>
      <c r="Q42" s="395"/>
      <c r="R42" s="387"/>
      <c r="S42" s="390"/>
      <c r="T42" s="391"/>
      <c r="V42" s="12"/>
      <c r="W42" s="189"/>
    </row>
    <row r="43" spans="1:24" ht="13.5" customHeight="1">
      <c r="A43" s="203" t="s">
        <v>709</v>
      </c>
      <c r="B43" s="204" t="s">
        <v>708</v>
      </c>
      <c r="C43" s="204" t="s">
        <v>707</v>
      </c>
      <c r="D43" s="201" t="s">
        <v>706</v>
      </c>
      <c r="F43" s="200"/>
      <c r="G43" s="189"/>
      <c r="H43" s="189"/>
      <c r="I43" s="18"/>
      <c r="J43" s="242"/>
      <c r="K43" s="394"/>
      <c r="L43" s="394"/>
      <c r="M43" s="394"/>
      <c r="N43" s="394"/>
      <c r="O43" s="394"/>
      <c r="P43" s="394"/>
      <c r="Q43" s="395"/>
      <c r="R43" s="387"/>
      <c r="S43" s="390"/>
      <c r="T43" s="391"/>
      <c r="V43" s="12"/>
      <c r="W43" s="189"/>
    </row>
    <row r="44" spans="1:24" ht="13.5" customHeight="1">
      <c r="A44" s="203" t="s">
        <v>705</v>
      </c>
      <c r="B44" s="204" t="s">
        <v>704</v>
      </c>
      <c r="C44" s="204" t="s">
        <v>703</v>
      </c>
      <c r="D44" s="201" t="s">
        <v>702</v>
      </c>
      <c r="F44" s="200"/>
      <c r="G44" s="189"/>
      <c r="H44" s="189"/>
      <c r="I44" s="18"/>
      <c r="J44" s="242"/>
      <c r="K44" s="394"/>
      <c r="L44" s="394"/>
      <c r="M44" s="394"/>
      <c r="N44" s="394"/>
      <c r="O44" s="394"/>
      <c r="P44" s="394"/>
      <c r="Q44" s="395"/>
      <c r="R44" s="385"/>
      <c r="S44" s="392"/>
      <c r="T44" s="393"/>
      <c r="V44" s="12"/>
      <c r="W44" s="189"/>
    </row>
    <row r="45" spans="1:24" ht="13.5" customHeight="1">
      <c r="A45" s="203" t="s">
        <v>701</v>
      </c>
      <c r="B45" s="202" t="s">
        <v>700</v>
      </c>
      <c r="C45" s="202" t="s">
        <v>699</v>
      </c>
      <c r="D45" s="201" t="s">
        <v>698</v>
      </c>
      <c r="F45" s="200"/>
      <c r="G45" s="189"/>
      <c r="H45" s="189"/>
      <c r="I45" s="18"/>
      <c r="J45" s="242"/>
      <c r="K45" s="394" t="str">
        <f>VLOOKUP(AA2,車両一覧!B2:N206,11,0)</f>
        <v>セブン通商　株式会社</v>
      </c>
      <c r="L45" s="394"/>
      <c r="M45" s="394"/>
      <c r="N45" s="394"/>
      <c r="O45" s="394"/>
      <c r="P45" s="394"/>
      <c r="Q45" s="395"/>
      <c r="R45" s="384" t="s">
        <v>152</v>
      </c>
      <c r="S45" s="260" t="s">
        <v>694</v>
      </c>
      <c r="T45" s="199"/>
      <c r="V45" s="12"/>
      <c r="W45" s="189"/>
    </row>
    <row r="46" spans="1:24" ht="13.5" customHeight="1" thickBot="1">
      <c r="A46" s="198" t="s">
        <v>697</v>
      </c>
      <c r="B46" s="197"/>
      <c r="C46" s="196"/>
      <c r="D46" s="195"/>
      <c r="F46" s="369" t="s">
        <v>696</v>
      </c>
      <c r="G46" s="370"/>
      <c r="H46" s="370"/>
      <c r="I46" s="371"/>
      <c r="J46" s="242"/>
      <c r="K46" s="394"/>
      <c r="L46" s="394"/>
      <c r="M46" s="394"/>
      <c r="N46" s="394"/>
      <c r="O46" s="394"/>
      <c r="P46" s="394"/>
      <c r="Q46" s="395"/>
      <c r="R46" s="385"/>
      <c r="S46" s="275"/>
      <c r="T46" s="194"/>
      <c r="V46" s="12"/>
      <c r="W46" s="189"/>
    </row>
    <row r="47" spans="1:24" ht="10.5" customHeight="1">
      <c r="A47" s="239"/>
      <c r="B47" s="239"/>
      <c r="C47" s="239"/>
      <c r="D47" s="239"/>
      <c r="F47" s="378" t="s">
        <v>695</v>
      </c>
      <c r="G47" s="380" t="s">
        <v>307</v>
      </c>
      <c r="H47" s="380"/>
      <c r="I47" s="381"/>
      <c r="J47" s="242"/>
      <c r="K47" s="394"/>
      <c r="L47" s="394"/>
      <c r="M47" s="394"/>
      <c r="N47" s="394"/>
      <c r="O47" s="394"/>
      <c r="P47" s="394"/>
      <c r="Q47" s="395"/>
      <c r="R47" s="384" t="s">
        <v>157</v>
      </c>
      <c r="S47" s="357" t="s">
        <v>741</v>
      </c>
      <c r="T47" s="108"/>
      <c r="V47" s="12"/>
      <c r="W47" s="189"/>
    </row>
    <row r="48" spans="1:24" ht="9.75" customHeight="1">
      <c r="F48" s="379"/>
      <c r="G48" s="382"/>
      <c r="H48" s="382"/>
      <c r="I48" s="383"/>
      <c r="J48" s="242"/>
      <c r="K48" s="394" t="str">
        <f>VLOOKUP(AA2,車両一覧!B2:N206,13,0)</f>
        <v>代表取締役　小寺　淳史</v>
      </c>
      <c r="L48" s="394"/>
      <c r="M48" s="394"/>
      <c r="N48" s="394"/>
      <c r="O48" s="394"/>
      <c r="P48" s="394"/>
      <c r="Q48" s="395"/>
      <c r="R48" s="385"/>
      <c r="S48" s="347"/>
      <c r="T48" s="194"/>
      <c r="V48" s="12"/>
      <c r="W48" s="189"/>
    </row>
    <row r="49" spans="6:23" ht="24" customHeight="1" thickBot="1">
      <c r="F49" s="193" t="s">
        <v>309</v>
      </c>
      <c r="G49" s="360" t="s">
        <v>310</v>
      </c>
      <c r="H49" s="361"/>
      <c r="I49" s="362"/>
      <c r="J49" s="243"/>
      <c r="K49" s="396"/>
      <c r="L49" s="396"/>
      <c r="M49" s="396"/>
      <c r="N49" s="396"/>
      <c r="O49" s="396"/>
      <c r="P49" s="396"/>
      <c r="Q49" s="397"/>
      <c r="R49" s="192" t="s">
        <v>160</v>
      </c>
      <c r="S49" s="191" t="s">
        <v>693</v>
      </c>
      <c r="T49" s="190"/>
      <c r="V49" s="12"/>
      <c r="W49" s="189"/>
    </row>
  </sheetData>
  <mergeCells count="60">
    <mergeCell ref="S47:S48"/>
    <mergeCell ref="K42:Q44"/>
    <mergeCell ref="K45:Q47"/>
    <mergeCell ref="K48:Q49"/>
    <mergeCell ref="P4:R4"/>
    <mergeCell ref="K3:M3"/>
    <mergeCell ref="K5:M5"/>
    <mergeCell ref="N5:R5"/>
    <mergeCell ref="N3:R3"/>
    <mergeCell ref="L12:M12"/>
    <mergeCell ref="L13:M13"/>
    <mergeCell ref="F47:F48"/>
    <mergeCell ref="G47:I48"/>
    <mergeCell ref="R47:R48"/>
    <mergeCell ref="R45:R46"/>
    <mergeCell ref="S45:S46"/>
    <mergeCell ref="R41:R44"/>
    <mergeCell ref="S41:T44"/>
    <mergeCell ref="D27:F27"/>
    <mergeCell ref="D26:F26"/>
    <mergeCell ref="F46:I46"/>
    <mergeCell ref="J41:O41"/>
    <mergeCell ref="D38:F38"/>
    <mergeCell ref="B22:C22"/>
    <mergeCell ref="B23:C23"/>
    <mergeCell ref="D23:F23"/>
    <mergeCell ref="D25:F25"/>
    <mergeCell ref="D24:F24"/>
    <mergeCell ref="B20:C20"/>
    <mergeCell ref="B21:C21"/>
    <mergeCell ref="D20:F20"/>
    <mergeCell ref="D21:F21"/>
    <mergeCell ref="D17:F17"/>
    <mergeCell ref="D18:F18"/>
    <mergeCell ref="D19:F19"/>
    <mergeCell ref="B17:C17"/>
    <mergeCell ref="B19:C19"/>
    <mergeCell ref="B18:C18"/>
    <mergeCell ref="B15:C15"/>
    <mergeCell ref="B16:C16"/>
    <mergeCell ref="D13:F13"/>
    <mergeCell ref="D14:F14"/>
    <mergeCell ref="D15:F15"/>
    <mergeCell ref="D16:F16"/>
    <mergeCell ref="D12:F12"/>
    <mergeCell ref="B13:C13"/>
    <mergeCell ref="D10:F10"/>
    <mergeCell ref="D11:F11"/>
    <mergeCell ref="B12:C12"/>
    <mergeCell ref="B14:C14"/>
    <mergeCell ref="B5:C5"/>
    <mergeCell ref="G49:I49"/>
    <mergeCell ref="B7:C7"/>
    <mergeCell ref="B8:C8"/>
    <mergeCell ref="B9:C9"/>
    <mergeCell ref="D7:F7"/>
    <mergeCell ref="D8:F8"/>
    <mergeCell ref="D9:F9"/>
    <mergeCell ref="B11:C11"/>
    <mergeCell ref="B10:C10"/>
  </mergeCells>
  <phoneticPr fontId="1"/>
  <pageMargins left="0.78740157480314965" right="0.78740157480314965" top="0.36" bottom="0.4" header="0.34" footer="0.4"/>
  <pageSetup paperSize="9" scale="69" orientation="landscape"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3</vt:i4>
      </vt:variant>
    </vt:vector>
  </HeadingPairs>
  <TitlesOfParts>
    <vt:vector size="8" baseType="lpstr">
      <vt:lpstr>車両一覧</vt:lpstr>
      <vt:lpstr>点検日</vt:lpstr>
      <vt:lpstr>トラクタ、トラック</vt:lpstr>
      <vt:lpstr>被牽引車</vt:lpstr>
      <vt:lpstr>被けん引車２</vt:lpstr>
      <vt:lpstr>'トラクタ、トラック'!Print_Area</vt:lpstr>
      <vt:lpstr>被けん引車２!Print_Area</vt:lpstr>
      <vt:lpstr>被牽引車!Print_Area</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受け流しの人</dc:creator>
  <cp:lastModifiedBy>H-260930-2</cp:lastModifiedBy>
  <cp:lastPrinted>2014-02-19T00:38:01Z</cp:lastPrinted>
  <dcterms:created xsi:type="dcterms:W3CDTF">2012-01-17T01:48:40Z</dcterms:created>
  <dcterms:modified xsi:type="dcterms:W3CDTF">2014-12-18T07:54:52Z</dcterms:modified>
</cp:coreProperties>
</file>